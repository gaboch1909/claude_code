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Gaboch_Portfolio\"/>
    </mc:Choice>
  </mc:AlternateContent>
  <xr:revisionPtr revIDLastSave="0" documentId="13_ncr:1_{FA3D9CF1-FCF2-4164-A426-4726CF90F385}" xr6:coauthVersionLast="47" xr6:coauthVersionMax="47" xr10:uidLastSave="{00000000-0000-0000-0000-000000000000}"/>
  <bookViews>
    <workbookView xWindow="-109" yWindow="-109" windowWidth="19286" windowHeight="10219" xr2:uid="{D37FE5D9-1440-4A1A-AC91-48FA1ED826EA}"/>
  </bookViews>
  <sheets>
    <sheet name="Gaboch_portfolio" sheetId="1" r:id="rId1"/>
  </sheets>
  <definedNames>
    <definedName name="_xlnm._FilterDatabase" localSheetId="0" hidden="1">Gaboch_portfolio!$A$1:$Q$603</definedName>
    <definedName name="BBDIERPrice">#REF!</definedName>
    <definedName name="BBprice">#REF!</definedName>
    <definedName name="BNGOPrice">#REF!</definedName>
    <definedName name="Categories">#REF!</definedName>
    <definedName name="CTRMstock">#REF!</definedName>
    <definedName name="DBApril1">#REF!</definedName>
    <definedName name="DBApril13">#REF!</definedName>
    <definedName name="DBApril14">#REF!</definedName>
    <definedName name="DBApril15">#REF!</definedName>
    <definedName name="DBApril16">#REF!</definedName>
    <definedName name="DBApril19">#REF!</definedName>
    <definedName name="DBApril20">#REF!</definedName>
    <definedName name="DBApril21">#REF!</definedName>
    <definedName name="DBApril23">#REF!</definedName>
    <definedName name="DBApril26">#REF!</definedName>
    <definedName name="DBApril27">#REF!</definedName>
    <definedName name="DBApril28">#REF!</definedName>
    <definedName name="DBApril29">#REF!</definedName>
    <definedName name="DBApril5">#REF!</definedName>
    <definedName name="DBApril6">#REF!</definedName>
    <definedName name="DBApril7">#REF!</definedName>
    <definedName name="DBApril8">#REF!</definedName>
    <definedName name="DBApril9">#REF!</definedName>
    <definedName name="DBDic1">#REF!</definedName>
    <definedName name="DBDic10">#REF!</definedName>
    <definedName name="DBDic11">#REF!</definedName>
    <definedName name="DBDic14">#REF!</definedName>
    <definedName name="DBDic15">#REF!</definedName>
    <definedName name="DBDic16">#REF!</definedName>
    <definedName name="DBDic17">#REF!</definedName>
    <definedName name="DBDic18">#REF!</definedName>
    <definedName name="DBDic2">#REF!</definedName>
    <definedName name="DBDic21">#REF!</definedName>
    <definedName name="DBDic22">#REF!</definedName>
    <definedName name="DBDic23">#REF!</definedName>
    <definedName name="DBDic24">#REF!</definedName>
    <definedName name="DBDic28">#REF!</definedName>
    <definedName name="DBDic29">#REF!</definedName>
    <definedName name="DBDic3">#REF!</definedName>
    <definedName name="DBDic30">#REF!</definedName>
    <definedName name="DBDic31">#REF!</definedName>
    <definedName name="DBDic4">#REF!</definedName>
    <definedName name="DBDic7">#REF!</definedName>
    <definedName name="DBDic8">#REF!</definedName>
    <definedName name="DBDic9">#REF!</definedName>
    <definedName name="DBFeb1">#REF!</definedName>
    <definedName name="DBFeb10">#REF!</definedName>
    <definedName name="DBFeb12">#REF!</definedName>
    <definedName name="DBFeb16">#REF!</definedName>
    <definedName name="DBFeb17">#REF!</definedName>
    <definedName name="DBFeb18">#REF!</definedName>
    <definedName name="DBFeb19">#REF!</definedName>
    <definedName name="DBFeb2">#REF!</definedName>
    <definedName name="DBFeb22">#REF!</definedName>
    <definedName name="DBFeb23">#REF!</definedName>
    <definedName name="DBFeb24">#REF!</definedName>
    <definedName name="DBFeb25">#REF!</definedName>
    <definedName name="DBFeb26">#REF!</definedName>
    <definedName name="DBFeb4">#REF!</definedName>
    <definedName name="DBFeb5">#REF!</definedName>
    <definedName name="DBFeb8">#REF!</definedName>
    <definedName name="DBFeb9">#REF!</definedName>
    <definedName name="DBJan11">#REF!</definedName>
    <definedName name="DBJan12">#REF!</definedName>
    <definedName name="DBJan13">#REF!</definedName>
    <definedName name="DBJan14">#REF!</definedName>
    <definedName name="DBJan15">#REF!</definedName>
    <definedName name="DBJan19">#REF!</definedName>
    <definedName name="DBJan20">#REF!</definedName>
    <definedName name="DBJan21">#REF!</definedName>
    <definedName name="DBJan25">#REF!</definedName>
    <definedName name="DBJan26">#REF!</definedName>
    <definedName name="DBJan27">#REF!</definedName>
    <definedName name="DBJan28">#REF!</definedName>
    <definedName name="DBJan4">#REF!</definedName>
    <definedName name="DBJan5">#REF!</definedName>
    <definedName name="DBJan6">#REF!</definedName>
    <definedName name="DBJan7">#REF!</definedName>
    <definedName name="DBJan8">#REF!</definedName>
    <definedName name="DBJun2">#REF!</definedName>
    <definedName name="DBJun7">#REF!</definedName>
    <definedName name="DBJune1">#REF!</definedName>
    <definedName name="DBJune3">#REF!</definedName>
    <definedName name="DBJune8">#REF!</definedName>
    <definedName name="DBMarch1">#REF!</definedName>
    <definedName name="DBMarch10">#REF!</definedName>
    <definedName name="DBMarch12">#REF!</definedName>
    <definedName name="DBMarch15">#REF!</definedName>
    <definedName name="DBMarch16">#REF!</definedName>
    <definedName name="DBMarch17">#REF!</definedName>
    <definedName name="DBMarch18">#REF!</definedName>
    <definedName name="DBMarch19">#REF!</definedName>
    <definedName name="DBMarch2">#REF!</definedName>
    <definedName name="DBMarch22">#REF!</definedName>
    <definedName name="DBMarch24">#REF!</definedName>
    <definedName name="DBMarch25">#REF!</definedName>
    <definedName name="DBMarch26">#REF!</definedName>
    <definedName name="DBMarch29">#REF!</definedName>
    <definedName name="DBMarch3">#REF!</definedName>
    <definedName name="DBMarch30">#REF!</definedName>
    <definedName name="DBMarch31">#REF!</definedName>
    <definedName name="DBMarch4">#REF!</definedName>
    <definedName name="DBMarch5">#REF!</definedName>
    <definedName name="DBMay">#REF!</definedName>
    <definedName name="DBMay10">#REF!</definedName>
    <definedName name="DBMay11">#REF!</definedName>
    <definedName name="DBMay12">#REF!</definedName>
    <definedName name="DBMay13">#REF!</definedName>
    <definedName name="DBMay14">#REF!</definedName>
    <definedName name="DBMay17">#REF!</definedName>
    <definedName name="DBMay18">#REF!</definedName>
    <definedName name="DBMay19">#REF!</definedName>
    <definedName name="DBMay20">#REF!</definedName>
    <definedName name="DBMay24">#REF!</definedName>
    <definedName name="DBMay25">#REF!</definedName>
    <definedName name="DBMay26">#REF!</definedName>
    <definedName name="DBMay27">#REF!</definedName>
    <definedName name="DBMay3">#REF!</definedName>
    <definedName name="DBMay4">#REF!</definedName>
    <definedName name="DBMay6">#REF!</definedName>
    <definedName name="DBMay7">#REF!</definedName>
    <definedName name="DBNov27">#REF!</definedName>
    <definedName name="DBNov30">#REF!</definedName>
    <definedName name="monthtable">#REF!</definedName>
    <definedName name="MSFTPrice">#REF!</definedName>
    <definedName name="NNDMPrice">#REF!</definedName>
    <definedName name="SOLPrice">#REF!</definedName>
    <definedName name="Title2">#REF!</definedName>
    <definedName name="total_deposits">#REF!</definedName>
    <definedName name="total_expenses">#REF!</definedName>
    <definedName name="TRXCPrice">#REF!</definedName>
    <definedName name="TSLAPrice">#REF!</definedName>
    <definedName name="TTOOPrice">#REF!</definedName>
    <definedName name="XPEVPrice">#REF!</definedName>
    <definedName name="ZOMPri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3" i="1" l="1"/>
  <c r="D603" i="1"/>
  <c r="H602" i="1"/>
  <c r="E602" i="1" a="1"/>
  <c r="E602" i="1" s="1"/>
  <c r="E603" i="1" s="1"/>
  <c r="F603" i="1" s="1"/>
  <c r="H603" i="1" s="1"/>
  <c r="G601" i="1"/>
  <c r="D601" i="1"/>
  <c r="H600" i="1"/>
  <c r="E600" i="1" a="1"/>
  <c r="E600" i="1" s="1"/>
  <c r="E601" i="1" s="1"/>
  <c r="F601" i="1" s="1"/>
  <c r="H601" i="1" s="1"/>
  <c r="G599" i="1"/>
  <c r="D599" i="1"/>
  <c r="H598" i="1"/>
  <c r="D598" i="1"/>
  <c r="E598" i="1" s="1" a="1"/>
  <c r="E598" i="1" s="1"/>
  <c r="E599" i="1" s="1"/>
  <c r="F599" i="1" s="1"/>
  <c r="H599" i="1" s="1"/>
  <c r="G597" i="1"/>
  <c r="D597" i="1"/>
  <c r="H596" i="1"/>
  <c r="E596" i="1" a="1"/>
  <c r="E596" i="1" s="1"/>
  <c r="E597" i="1" s="1"/>
  <c r="F597" i="1" s="1"/>
  <c r="H597" i="1" s="1"/>
  <c r="G595" i="1"/>
  <c r="D595" i="1"/>
  <c r="H594" i="1"/>
  <c r="E594" i="1" a="1"/>
  <c r="E594" i="1" s="1"/>
  <c r="E595" i="1" s="1"/>
  <c r="F595" i="1" s="1"/>
  <c r="H595" i="1" s="1"/>
  <c r="G593" i="1"/>
  <c r="D593" i="1"/>
  <c r="H592" i="1"/>
  <c r="E592" i="1" a="1"/>
  <c r="E592" i="1" s="1"/>
  <c r="E593" i="1" s="1"/>
  <c r="F593" i="1" s="1"/>
  <c r="H593" i="1" s="1"/>
  <c r="G591" i="1"/>
  <c r="D591" i="1"/>
  <c r="H590" i="1"/>
  <c r="E590" i="1" a="1"/>
  <c r="E590" i="1" s="1"/>
  <c r="E591" i="1" s="1"/>
  <c r="F591" i="1" s="1"/>
  <c r="H591" i="1" s="1"/>
  <c r="G589" i="1"/>
  <c r="D589" i="1"/>
  <c r="H588" i="1"/>
  <c r="E588" i="1" a="1"/>
  <c r="E588" i="1" s="1"/>
  <c r="E589" i="1" s="1"/>
  <c r="F589" i="1" s="1"/>
  <c r="H589" i="1" s="1"/>
  <c r="G587" i="1"/>
  <c r="D587" i="1"/>
  <c r="H586" i="1"/>
  <c r="D586" i="1"/>
  <c r="E586" i="1" s="1" a="1"/>
  <c r="E586" i="1" s="1"/>
  <c r="E587" i="1" s="1"/>
  <c r="F587" i="1" s="1"/>
  <c r="H587" i="1" s="1"/>
  <c r="G489" i="1"/>
  <c r="D489" i="1"/>
  <c r="H488" i="1"/>
  <c r="D488" i="1"/>
  <c r="E488" i="1" s="1" a="1"/>
  <c r="E488" i="1" s="1"/>
  <c r="E489" i="1" s="1"/>
  <c r="F489" i="1" s="1"/>
  <c r="H489" i="1" s="1"/>
  <c r="G585" i="1"/>
  <c r="D585" i="1"/>
  <c r="H584" i="1"/>
  <c r="D584" i="1"/>
  <c r="E584" i="1" s="1" a="1"/>
  <c r="E584" i="1" s="1"/>
  <c r="E585" i="1" s="1"/>
  <c r="F585" i="1" s="1"/>
  <c r="H585" i="1" s="1"/>
  <c r="G583" i="1"/>
  <c r="D583" i="1"/>
  <c r="H582" i="1"/>
  <c r="D582" i="1"/>
  <c r="E582" i="1" s="1" a="1"/>
  <c r="E582" i="1" s="1"/>
  <c r="E583" i="1" s="1"/>
  <c r="H583" i="1"/>
  <c r="G581" i="1"/>
  <c r="D581" i="1"/>
  <c r="H580" i="1"/>
  <c r="D580" i="1"/>
  <c r="E580" i="1" s="1" a="1"/>
  <c r="E580" i="1" s="1"/>
  <c r="E581" i="1" s="1"/>
  <c r="F581" i="1" s="1"/>
  <c r="H581" i="1" s="1"/>
  <c r="G579" i="1"/>
  <c r="D579" i="1"/>
  <c r="H578" i="1"/>
  <c r="D578" i="1"/>
  <c r="E578" i="1" s="1" a="1"/>
  <c r="E578" i="1" s="1"/>
  <c r="E579" i="1" s="1"/>
  <c r="F579" i="1" s="1"/>
  <c r="H579" i="1" s="1"/>
  <c r="G577" i="1"/>
  <c r="D577" i="1"/>
  <c r="H576" i="1"/>
  <c r="E576" i="1" a="1"/>
  <c r="E576" i="1" s="1"/>
  <c r="E577" i="1" s="1"/>
  <c r="F577" i="1" s="1"/>
  <c r="H577" i="1" s="1"/>
  <c r="G575" i="1"/>
  <c r="D575" i="1"/>
  <c r="H574" i="1"/>
  <c r="E574" i="1" a="1"/>
  <c r="E574" i="1" s="1"/>
  <c r="E575" i="1" s="1"/>
  <c r="F575" i="1" s="1"/>
  <c r="H575" i="1" s="1"/>
  <c r="G573" i="1"/>
  <c r="D573" i="1"/>
  <c r="H572" i="1"/>
  <c r="D572" i="1"/>
  <c r="E572" i="1" s="1" a="1"/>
  <c r="E572" i="1" s="1"/>
  <c r="E573" i="1" s="1"/>
  <c r="H573" i="1"/>
  <c r="D570" i="1"/>
  <c r="E570" i="1" s="1" a="1"/>
  <c r="E570" i="1" s="1"/>
  <c r="E571" i="1" s="1"/>
  <c r="F571" i="1" s="1"/>
  <c r="G571" i="1"/>
  <c r="D571" i="1"/>
  <c r="H570" i="1"/>
  <c r="G569" i="1"/>
  <c r="D569" i="1"/>
  <c r="H568" i="1"/>
  <c r="D568" i="1"/>
  <c r="E568" i="1" s="1" a="1"/>
  <c r="E568" i="1" s="1"/>
  <c r="E569" i="1" s="1"/>
  <c r="F569" i="1" s="1"/>
  <c r="H569" i="1" s="1"/>
  <c r="D566" i="1"/>
  <c r="E566" i="1" s="1" a="1"/>
  <c r="E566" i="1" s="1"/>
  <c r="E567" i="1" s="1"/>
  <c r="G567" i="1"/>
  <c r="H567" i="1" s="1"/>
  <c r="D567" i="1"/>
  <c r="H566" i="1"/>
  <c r="G565" i="1"/>
  <c r="D565" i="1"/>
  <c r="H564" i="1"/>
  <c r="D564" i="1"/>
  <c r="E564" i="1" s="1" a="1"/>
  <c r="E564" i="1" s="1"/>
  <c r="E565" i="1" s="1"/>
  <c r="F565" i="1" s="1"/>
  <c r="H565" i="1" s="1"/>
  <c r="G563" i="1"/>
  <c r="D563" i="1"/>
  <c r="H562" i="1"/>
  <c r="D562" i="1"/>
  <c r="E562" i="1" s="1" a="1"/>
  <c r="E562" i="1" s="1"/>
  <c r="E563" i="1" s="1"/>
  <c r="F563" i="1" s="1"/>
  <c r="H563" i="1" s="1"/>
  <c r="G561" i="1"/>
  <c r="D561" i="1"/>
  <c r="H560" i="1"/>
  <c r="E560" i="1" a="1"/>
  <c r="E560" i="1" s="1"/>
  <c r="E561" i="1" s="1"/>
  <c r="F561" i="1" s="1"/>
  <c r="H561" i="1" s="1"/>
  <c r="G559" i="1"/>
  <c r="D559" i="1"/>
  <c r="H558" i="1"/>
  <c r="D558" i="1"/>
  <c r="E558" i="1" s="1" a="1"/>
  <c r="E558" i="1" s="1"/>
  <c r="E559" i="1" s="1"/>
  <c r="H559" i="1" s="1"/>
  <c r="G557" i="1"/>
  <c r="D557" i="1"/>
  <c r="H556" i="1"/>
  <c r="D556" i="1"/>
  <c r="E556" i="1" s="1" a="1"/>
  <c r="E556" i="1" s="1"/>
  <c r="E557" i="1" s="1"/>
  <c r="F557" i="1" s="1"/>
  <c r="H557" i="1" s="1"/>
  <c r="G555" i="1"/>
  <c r="D555" i="1"/>
  <c r="H554" i="1"/>
  <c r="E554" i="1" a="1"/>
  <c r="E554" i="1" s="1"/>
  <c r="E555" i="1" s="1"/>
  <c r="F555" i="1" s="1"/>
  <c r="H555" i="1" s="1"/>
  <c r="G553" i="1"/>
  <c r="D553" i="1"/>
  <c r="H552" i="1"/>
  <c r="E552" i="1" a="1"/>
  <c r="E552" i="1" s="1"/>
  <c r="E553" i="1" s="1"/>
  <c r="F553" i="1" s="1"/>
  <c r="H553" i="1" s="1"/>
  <c r="G551" i="1"/>
  <c r="D551" i="1"/>
  <c r="H550" i="1"/>
  <c r="E550" i="1" a="1"/>
  <c r="E550" i="1" s="1"/>
  <c r="E551" i="1" s="1"/>
  <c r="F551" i="1" s="1"/>
  <c r="H551" i="1" s="1"/>
  <c r="G549" i="1"/>
  <c r="D549" i="1"/>
  <c r="H548" i="1"/>
  <c r="D548" i="1"/>
  <c r="E548" i="1" s="1" a="1"/>
  <c r="E548" i="1" s="1"/>
  <c r="E549" i="1" s="1"/>
  <c r="F549" i="1" s="1"/>
  <c r="H549" i="1" s="1"/>
  <c r="G547" i="1"/>
  <c r="H547" i="1" s="1"/>
  <c r="D547" i="1"/>
  <c r="H546" i="1"/>
  <c r="E546" i="1" a="1"/>
  <c r="E546" i="1" s="1"/>
  <c r="E547" i="1" s="1"/>
  <c r="G545" i="1"/>
  <c r="D545" i="1"/>
  <c r="H544" i="1"/>
  <c r="E544" i="1" a="1"/>
  <c r="E544" i="1" s="1"/>
  <c r="E545" i="1" s="1"/>
  <c r="F545" i="1" s="1"/>
  <c r="H545" i="1" s="1"/>
  <c r="G543" i="1"/>
  <c r="H543" i="1" s="1"/>
  <c r="D543" i="1"/>
  <c r="H542" i="1"/>
  <c r="E542" i="1" a="1"/>
  <c r="E542" i="1" s="1"/>
  <c r="E543" i="1" s="1"/>
  <c r="D540" i="1"/>
  <c r="E540" i="1" s="1" a="1"/>
  <c r="E540" i="1" s="1"/>
  <c r="E541" i="1" s="1"/>
  <c r="F541" i="1" s="1"/>
  <c r="G541" i="1"/>
  <c r="D541" i="1"/>
  <c r="H540" i="1"/>
  <c r="G539" i="1"/>
  <c r="D539" i="1"/>
  <c r="H538" i="1"/>
  <c r="D538" i="1"/>
  <c r="E538" i="1" s="1" a="1"/>
  <c r="E538" i="1" s="1"/>
  <c r="E539" i="1" s="1"/>
  <c r="F539" i="1" s="1"/>
  <c r="H539" i="1" s="1"/>
  <c r="D537" i="1"/>
  <c r="G537" i="1"/>
  <c r="H536" i="1"/>
  <c r="D536" i="1"/>
  <c r="E536" i="1" s="1" a="1"/>
  <c r="E536" i="1" s="1"/>
  <c r="E537" i="1" s="1"/>
  <c r="F537" i="1" s="1"/>
  <c r="H537" i="1" s="1"/>
  <c r="G535" i="1"/>
  <c r="D535" i="1"/>
  <c r="H534" i="1"/>
  <c r="D534" i="1"/>
  <c r="E534" i="1" s="1" a="1"/>
  <c r="E534" i="1" s="1"/>
  <c r="E535" i="1" s="1"/>
  <c r="F535" i="1" s="1"/>
  <c r="H535" i="1" s="1"/>
  <c r="G533" i="1"/>
  <c r="D533" i="1"/>
  <c r="H532" i="1"/>
  <c r="D532" i="1"/>
  <c r="E532" i="1" s="1" a="1"/>
  <c r="E532" i="1" s="1"/>
  <c r="E533" i="1" s="1"/>
  <c r="F533" i="1" s="1"/>
  <c r="G531" i="1"/>
  <c r="D531" i="1"/>
  <c r="H530" i="1"/>
  <c r="D530" i="1"/>
  <c r="E530" i="1" s="1" a="1"/>
  <c r="E530" i="1" s="1"/>
  <c r="E531" i="1" s="1"/>
  <c r="H531" i="1" s="1"/>
  <c r="G529" i="1"/>
  <c r="D529" i="1"/>
  <c r="H528" i="1"/>
  <c r="E528" i="1" a="1"/>
  <c r="E528" i="1" s="1"/>
  <c r="E529" i="1" s="1"/>
  <c r="F529" i="1" s="1"/>
  <c r="G527" i="1"/>
  <c r="D527" i="1"/>
  <c r="H526" i="1"/>
  <c r="D526" i="1"/>
  <c r="E526" i="1" s="1" a="1"/>
  <c r="E526" i="1" s="1"/>
  <c r="E527" i="1" s="1"/>
  <c r="F527" i="1" s="1"/>
  <c r="H527" i="1" s="1"/>
  <c r="F524" i="1"/>
  <c r="G524" i="1"/>
  <c r="G525" i="1"/>
  <c r="D525" i="1"/>
  <c r="H524" i="1"/>
  <c r="D524" i="1"/>
  <c r="E524" i="1" s="1" a="1"/>
  <c r="E524" i="1" s="1"/>
  <c r="E525" i="1" s="1"/>
  <c r="F525" i="1" s="1"/>
  <c r="H525" i="1" s="1"/>
  <c r="G523" i="1"/>
  <c r="D523" i="1"/>
  <c r="H522" i="1"/>
  <c r="E522" i="1" a="1"/>
  <c r="E522" i="1" s="1"/>
  <c r="E523" i="1" s="1"/>
  <c r="H523" i="1"/>
  <c r="G521" i="1"/>
  <c r="D521" i="1"/>
  <c r="H520" i="1"/>
  <c r="D520" i="1"/>
  <c r="E520" i="1" s="1" a="1"/>
  <c r="E520" i="1" s="1"/>
  <c r="E521" i="1" s="1"/>
  <c r="F521" i="1" s="1"/>
  <c r="H521" i="1" s="1"/>
  <c r="G519" i="1"/>
  <c r="D519" i="1"/>
  <c r="H518" i="1"/>
  <c r="E518" i="1" a="1"/>
  <c r="E518" i="1" s="1"/>
  <c r="E519" i="1" s="1"/>
  <c r="F519" i="1" s="1"/>
  <c r="H519" i="1" s="1"/>
  <c r="G517" i="1"/>
  <c r="D517" i="1"/>
  <c r="H516" i="1"/>
  <c r="E516" i="1" a="1"/>
  <c r="E516" i="1" s="1"/>
  <c r="E517" i="1" s="1"/>
  <c r="H517" i="1"/>
  <c r="G515" i="1"/>
  <c r="D515" i="1"/>
  <c r="H514" i="1"/>
  <c r="E514" i="1" a="1"/>
  <c r="E514" i="1" s="1"/>
  <c r="E515" i="1" s="1"/>
  <c r="H515" i="1"/>
  <c r="G513" i="1"/>
  <c r="D513" i="1"/>
  <c r="H512" i="1"/>
  <c r="E512" i="1" a="1"/>
  <c r="E512" i="1" s="1"/>
  <c r="E513" i="1" s="1"/>
  <c r="H513" i="1"/>
  <c r="G511" i="1"/>
  <c r="D511" i="1"/>
  <c r="H510" i="1"/>
  <c r="E510" i="1" a="1"/>
  <c r="E510" i="1" s="1"/>
  <c r="E511" i="1" s="1"/>
  <c r="F511" i="1" s="1"/>
  <c r="H511" i="1" s="1"/>
  <c r="G509" i="1"/>
  <c r="D509" i="1"/>
  <c r="H508" i="1"/>
  <c r="E508" i="1" a="1"/>
  <c r="E508" i="1" s="1"/>
  <c r="E509" i="1" s="1"/>
  <c r="H509" i="1"/>
  <c r="G507" i="1"/>
  <c r="D507" i="1"/>
  <c r="H506" i="1"/>
  <c r="D506" i="1"/>
  <c r="E506" i="1" s="1" a="1"/>
  <c r="E506" i="1" s="1"/>
  <c r="E507" i="1" s="1"/>
  <c r="F507" i="1" s="1"/>
  <c r="H507" i="1" s="1"/>
  <c r="D504" i="1"/>
  <c r="E504" i="1" s="1" a="1"/>
  <c r="E504" i="1" s="1"/>
  <c r="E505" i="1" s="1"/>
  <c r="G505" i="1"/>
  <c r="H505" i="1" s="1"/>
  <c r="D505" i="1"/>
  <c r="H504" i="1"/>
  <c r="G503" i="1"/>
  <c r="H503" i="1" s="1"/>
  <c r="D503" i="1"/>
  <c r="H502" i="1"/>
  <c r="E502" i="1" a="1"/>
  <c r="E502" i="1" s="1"/>
  <c r="E503" i="1" s="1"/>
  <c r="G501" i="1"/>
  <c r="D501" i="1"/>
  <c r="H500" i="1"/>
  <c r="E500" i="1" a="1"/>
  <c r="E500" i="1" s="1"/>
  <c r="E501" i="1" s="1"/>
  <c r="F501" i="1" s="1"/>
  <c r="H501" i="1" s="1"/>
  <c r="G499" i="1"/>
  <c r="D499" i="1"/>
  <c r="H498" i="1"/>
  <c r="E498" i="1" a="1"/>
  <c r="E498" i="1" s="1"/>
  <c r="E499" i="1" s="1"/>
  <c r="H499" i="1"/>
  <c r="G497" i="1"/>
  <c r="D497" i="1"/>
  <c r="H496" i="1"/>
  <c r="D496" i="1"/>
  <c r="E496" i="1" s="1" a="1"/>
  <c r="E496" i="1" s="1"/>
  <c r="E497" i="1" s="1"/>
  <c r="H497" i="1"/>
  <c r="G495" i="1"/>
  <c r="D495" i="1"/>
  <c r="H494" i="1"/>
  <c r="D494" i="1"/>
  <c r="E494" i="1" s="1" a="1"/>
  <c r="E494" i="1" s="1"/>
  <c r="E495" i="1" s="1"/>
  <c r="F495" i="1" s="1"/>
  <c r="H495" i="1" s="1"/>
  <c r="G493" i="1"/>
  <c r="D493" i="1"/>
  <c r="H492" i="1"/>
  <c r="D492" i="1"/>
  <c r="E492" i="1" s="1" a="1"/>
  <c r="E492" i="1" s="1"/>
  <c r="E493" i="1" s="1"/>
  <c r="F493" i="1" s="1"/>
  <c r="H493" i="1" s="1"/>
  <c r="G491" i="1"/>
  <c r="H491" i="1" s="1"/>
  <c r="D491" i="1"/>
  <c r="H490" i="1"/>
  <c r="D490" i="1"/>
  <c r="E490" i="1" s="1" a="1"/>
  <c r="E490" i="1" s="1"/>
  <c r="E491" i="1" s="1"/>
  <c r="G487" i="1"/>
  <c r="D487" i="1"/>
  <c r="H486" i="1"/>
  <c r="D486" i="1"/>
  <c r="E486" i="1" s="1" a="1"/>
  <c r="E486" i="1" s="1"/>
  <c r="E487" i="1" s="1"/>
  <c r="F487" i="1" s="1"/>
  <c r="H487" i="1" s="1"/>
  <c r="G485" i="1"/>
  <c r="H485" i="1" s="1"/>
  <c r="D485" i="1"/>
  <c r="H484" i="1"/>
  <c r="D484" i="1"/>
  <c r="E484" i="1" s="1" a="1"/>
  <c r="E484" i="1" s="1"/>
  <c r="E485" i="1" s="1"/>
  <c r="G483" i="1"/>
  <c r="D483" i="1"/>
  <c r="H482" i="1"/>
  <c r="D482" i="1"/>
  <c r="E482" i="1" s="1" a="1"/>
  <c r="E482" i="1" s="1"/>
  <c r="E483" i="1" s="1"/>
  <c r="F483" i="1" s="1"/>
  <c r="H483" i="1" s="1"/>
  <c r="G481" i="1"/>
  <c r="D481" i="1"/>
  <c r="H480" i="1"/>
  <c r="D480" i="1"/>
  <c r="E480" i="1" s="1" a="1"/>
  <c r="E480" i="1" s="1"/>
  <c r="E481" i="1" s="1"/>
  <c r="F481" i="1" s="1"/>
  <c r="H481" i="1" s="1"/>
  <c r="G479" i="1"/>
  <c r="H479" i="1" s="1"/>
  <c r="D479" i="1"/>
  <c r="H478" i="1"/>
  <c r="D478" i="1"/>
  <c r="E478" i="1" s="1" a="1"/>
  <c r="E478" i="1" s="1"/>
  <c r="E479" i="1" s="1"/>
  <c r="G477" i="1"/>
  <c r="D477" i="1"/>
  <c r="H476" i="1"/>
  <c r="E476" i="1" a="1"/>
  <c r="E476" i="1" s="1"/>
  <c r="E477" i="1" s="1"/>
  <c r="F477" i="1" s="1"/>
  <c r="H477" i="1" s="1"/>
  <c r="G411" i="1"/>
  <c r="D411" i="1"/>
  <c r="H410" i="1"/>
  <c r="D410" i="1"/>
  <c r="E410" i="1" s="1" a="1"/>
  <c r="E410" i="1" s="1"/>
  <c r="E411" i="1" s="1"/>
  <c r="F411" i="1" s="1"/>
  <c r="H411" i="1" s="1"/>
  <c r="G475" i="1"/>
  <c r="D475" i="1"/>
  <c r="H474" i="1"/>
  <c r="D474" i="1"/>
  <c r="E474" i="1" s="1" a="1"/>
  <c r="E474" i="1" s="1"/>
  <c r="E475" i="1" s="1"/>
  <c r="H475" i="1"/>
  <c r="G473" i="1"/>
  <c r="D473" i="1"/>
  <c r="H472" i="1"/>
  <c r="E472" i="1" a="1"/>
  <c r="E472" i="1" s="1"/>
  <c r="E473" i="1" s="1"/>
  <c r="H473" i="1"/>
  <c r="G471" i="1"/>
  <c r="H471" i="1" s="1"/>
  <c r="D471" i="1"/>
  <c r="H470" i="1"/>
  <c r="E470" i="1" a="1"/>
  <c r="E470" i="1" s="1"/>
  <c r="E471" i="1" s="1"/>
  <c r="G469" i="1"/>
  <c r="H469" i="1" s="1"/>
  <c r="D469" i="1"/>
  <c r="H468" i="1"/>
  <c r="D468" i="1"/>
  <c r="E468" i="1" s="1" a="1"/>
  <c r="E468" i="1" s="1"/>
  <c r="E469" i="1" s="1"/>
  <c r="G467" i="1"/>
  <c r="H467" i="1" s="1"/>
  <c r="D467" i="1"/>
  <c r="H466" i="1"/>
  <c r="E466" i="1" a="1"/>
  <c r="E466" i="1" s="1"/>
  <c r="E467" i="1" s="1"/>
  <c r="G465" i="1"/>
  <c r="H465" i="1" s="1"/>
  <c r="D465" i="1"/>
  <c r="H464" i="1"/>
  <c r="E464" i="1" a="1"/>
  <c r="E464" i="1" s="1"/>
  <c r="E465" i="1" s="1"/>
  <c r="G463" i="1"/>
  <c r="H463" i="1" s="1"/>
  <c r="D463" i="1"/>
  <c r="H462" i="1"/>
  <c r="D462" i="1"/>
  <c r="E462" i="1" s="1" a="1"/>
  <c r="E462" i="1" s="1"/>
  <c r="E463" i="1" s="1"/>
  <c r="G461" i="1"/>
  <c r="D461" i="1"/>
  <c r="H460" i="1"/>
  <c r="E460" i="1" a="1"/>
  <c r="E460" i="1" s="1"/>
  <c r="E461" i="1" s="1"/>
  <c r="G459" i="1"/>
  <c r="H459" i="1" s="1"/>
  <c r="D459" i="1"/>
  <c r="H458" i="1"/>
  <c r="E458" i="1" a="1"/>
  <c r="E458" i="1" s="1"/>
  <c r="E459" i="1" s="1"/>
  <c r="D456" i="1"/>
  <c r="E456" i="1" s="1" a="1"/>
  <c r="E456" i="1" s="1"/>
  <c r="E457" i="1" s="1"/>
  <c r="G457" i="1"/>
  <c r="H457" i="1" s="1"/>
  <c r="D457" i="1"/>
  <c r="H456" i="1"/>
  <c r="G455" i="1"/>
  <c r="H455" i="1" s="1"/>
  <c r="D455" i="1"/>
  <c r="H454" i="1"/>
  <c r="D454" i="1"/>
  <c r="E454" i="1" s="1" a="1"/>
  <c r="E454" i="1" s="1"/>
  <c r="E455" i="1" s="1"/>
  <c r="G453" i="1"/>
  <c r="D453" i="1"/>
  <c r="H452" i="1"/>
  <c r="E452" i="1" a="1"/>
  <c r="E452" i="1" s="1"/>
  <c r="E453" i="1" s="1"/>
  <c r="H453" i="1"/>
  <c r="G451" i="1"/>
  <c r="D451" i="1"/>
  <c r="H450" i="1"/>
  <c r="D450" i="1"/>
  <c r="E450" i="1" s="1" a="1"/>
  <c r="E450" i="1" s="1"/>
  <c r="E451" i="1" s="1"/>
  <c r="G449" i="1"/>
  <c r="D449" i="1"/>
  <c r="H448" i="1"/>
  <c r="D448" i="1"/>
  <c r="E448" i="1" s="1" a="1"/>
  <c r="E448" i="1" s="1"/>
  <c r="E449" i="1" s="1"/>
  <c r="G447" i="1"/>
  <c r="H447" i="1" s="1"/>
  <c r="D447" i="1"/>
  <c r="H446" i="1"/>
  <c r="D446" i="1"/>
  <c r="E446" i="1" s="1" a="1"/>
  <c r="E446" i="1" s="1"/>
  <c r="E447" i="1" s="1"/>
  <c r="G377" i="1"/>
  <c r="D377" i="1"/>
  <c r="H376" i="1"/>
  <c r="E376" i="1" a="1"/>
  <c r="E376" i="1" s="1"/>
  <c r="E377" i="1" s="1"/>
  <c r="F377" i="1" s="1"/>
  <c r="H377" i="1" s="1"/>
  <c r="G445" i="1"/>
  <c r="D445" i="1"/>
  <c r="H444" i="1"/>
  <c r="E444" i="1" a="1"/>
  <c r="E444" i="1" s="1"/>
  <c r="E445" i="1" s="1"/>
  <c r="H445" i="1"/>
  <c r="G443" i="1"/>
  <c r="D443" i="1"/>
  <c r="H442" i="1"/>
  <c r="D442" i="1"/>
  <c r="E442" i="1" s="1" a="1"/>
  <c r="E442" i="1" s="1"/>
  <c r="E443" i="1" s="1"/>
  <c r="F443" i="1" s="1"/>
  <c r="H443" i="1" s="1"/>
  <c r="G441" i="1"/>
  <c r="D441" i="1"/>
  <c r="H440" i="1"/>
  <c r="D440" i="1"/>
  <c r="E440" i="1" s="1" a="1"/>
  <c r="E440" i="1" s="1"/>
  <c r="E441" i="1" s="1"/>
  <c r="F441" i="1" s="1"/>
  <c r="H441" i="1" s="1"/>
  <c r="G439" i="1"/>
  <c r="D439" i="1"/>
  <c r="H438" i="1"/>
  <c r="D438" i="1"/>
  <c r="E438" i="1" s="1" a="1"/>
  <c r="E438" i="1" s="1"/>
  <c r="E439" i="1" s="1"/>
  <c r="G437" i="1"/>
  <c r="H437" i="1" s="1"/>
  <c r="D437" i="1"/>
  <c r="H436" i="1"/>
  <c r="E436" i="1" a="1"/>
  <c r="E436" i="1" s="1"/>
  <c r="E437" i="1" s="1"/>
  <c r="G435" i="1"/>
  <c r="H435" i="1" s="1"/>
  <c r="D435" i="1"/>
  <c r="H434" i="1"/>
  <c r="D434" i="1"/>
  <c r="E434" i="1" s="1" a="1"/>
  <c r="E434" i="1" s="1"/>
  <c r="E435" i="1" s="1"/>
  <c r="G433" i="1"/>
  <c r="H433" i="1" s="1"/>
  <c r="D433" i="1"/>
  <c r="H432" i="1"/>
  <c r="D432" i="1"/>
  <c r="E432" i="1" s="1" a="1"/>
  <c r="E432" i="1" s="1"/>
  <c r="E433" i="1" s="1"/>
  <c r="G431" i="1"/>
  <c r="D431" i="1"/>
  <c r="H430" i="1"/>
  <c r="D430" i="1"/>
  <c r="E430" i="1" s="1" a="1"/>
  <c r="E430" i="1" s="1"/>
  <c r="E431" i="1" s="1"/>
  <c r="G429" i="1"/>
  <c r="D429" i="1"/>
  <c r="H428" i="1"/>
  <c r="D428" i="1"/>
  <c r="E428" i="1" s="1" a="1"/>
  <c r="E428" i="1" s="1"/>
  <c r="E429" i="1" s="1"/>
  <c r="F429" i="1" s="1"/>
  <c r="H429" i="1" s="1"/>
  <c r="G427" i="1"/>
  <c r="H427" i="1" s="1"/>
  <c r="D427" i="1"/>
  <c r="H426" i="1"/>
  <c r="D426" i="1"/>
  <c r="E426" i="1" s="1" a="1"/>
  <c r="E426" i="1" s="1"/>
  <c r="E427" i="1" s="1"/>
  <c r="G425" i="1"/>
  <c r="H425" i="1" s="1"/>
  <c r="D425" i="1"/>
  <c r="H424" i="1"/>
  <c r="D424" i="1"/>
  <c r="E424" i="1" s="1" a="1"/>
  <c r="E424" i="1" s="1"/>
  <c r="E425" i="1" s="1"/>
  <c r="G423" i="1"/>
  <c r="H423" i="1" s="1"/>
  <c r="D423" i="1"/>
  <c r="H422" i="1"/>
  <c r="D422" i="1"/>
  <c r="E422" i="1" s="1" a="1"/>
  <c r="E422" i="1" s="1"/>
  <c r="E423" i="1" s="1"/>
  <c r="D420" i="1"/>
  <c r="E420" i="1" s="1" a="1"/>
  <c r="E420" i="1" s="1"/>
  <c r="E421" i="1" s="1"/>
  <c r="F421" i="1" s="1"/>
  <c r="G421" i="1"/>
  <c r="D421" i="1"/>
  <c r="H420" i="1"/>
  <c r="G419" i="1"/>
  <c r="D419" i="1"/>
  <c r="H418" i="1"/>
  <c r="D418" i="1"/>
  <c r="E418" i="1" s="1" a="1"/>
  <c r="E418" i="1" s="1"/>
  <c r="E419" i="1" s="1"/>
  <c r="F419" i="1" s="1"/>
  <c r="H419" i="1" s="1"/>
  <c r="G417" i="1"/>
  <c r="D417" i="1"/>
  <c r="H416" i="1"/>
  <c r="D416" i="1"/>
  <c r="E416" i="1" s="1" a="1"/>
  <c r="E416" i="1" s="1"/>
  <c r="E417" i="1" s="1"/>
  <c r="F417" i="1" s="1"/>
  <c r="H417" i="1" s="1"/>
  <c r="G415" i="1"/>
  <c r="H415" i="1" s="1"/>
  <c r="D415" i="1"/>
  <c r="H414" i="1"/>
  <c r="D414" i="1"/>
  <c r="E414" i="1" s="1" a="1"/>
  <c r="E414" i="1" s="1"/>
  <c r="E415" i="1" s="1"/>
  <c r="G413" i="1"/>
  <c r="D413" i="1"/>
  <c r="H412" i="1"/>
  <c r="D412" i="1"/>
  <c r="E412" i="1" s="1" a="1"/>
  <c r="E412" i="1" s="1"/>
  <c r="E413" i="1" s="1"/>
  <c r="F413" i="1" s="1"/>
  <c r="H413" i="1" s="1"/>
  <c r="G409" i="1"/>
  <c r="H409" i="1" s="1"/>
  <c r="D409" i="1"/>
  <c r="H408" i="1"/>
  <c r="D408" i="1"/>
  <c r="E408" i="1" s="1" a="1"/>
  <c r="E408" i="1" s="1"/>
  <c r="E409" i="1" s="1"/>
  <c r="G407" i="1"/>
  <c r="H407" i="1" s="1"/>
  <c r="D407" i="1"/>
  <c r="H406" i="1"/>
  <c r="D406" i="1"/>
  <c r="E406" i="1" s="1" a="1"/>
  <c r="E406" i="1" s="1"/>
  <c r="E407" i="1" s="1"/>
  <c r="G405" i="1"/>
  <c r="H405" i="1" s="1"/>
  <c r="D405" i="1"/>
  <c r="H404" i="1"/>
  <c r="E404" i="1" a="1"/>
  <c r="E404" i="1" s="1"/>
  <c r="E405" i="1" s="1"/>
  <c r="G403" i="1"/>
  <c r="H403" i="1" s="1"/>
  <c r="D403" i="1"/>
  <c r="H402" i="1"/>
  <c r="D402" i="1"/>
  <c r="E402" i="1" s="1" a="1"/>
  <c r="E402" i="1" s="1"/>
  <c r="E403" i="1" s="1"/>
  <c r="G401" i="1"/>
  <c r="H401" i="1" s="1"/>
  <c r="D401" i="1"/>
  <c r="H400" i="1"/>
  <c r="D400" i="1"/>
  <c r="E400" i="1" s="1" a="1"/>
  <c r="E400" i="1" s="1"/>
  <c r="E401" i="1" s="1"/>
  <c r="G399" i="1"/>
  <c r="H399" i="1" s="1"/>
  <c r="D399" i="1"/>
  <c r="H398" i="1"/>
  <c r="D398" i="1"/>
  <c r="E398" i="1" s="1" a="1"/>
  <c r="E398" i="1" s="1"/>
  <c r="E399" i="1" s="1"/>
  <c r="G397" i="1"/>
  <c r="H397" i="1" s="1"/>
  <c r="D397" i="1"/>
  <c r="H396" i="1"/>
  <c r="D396" i="1"/>
  <c r="E396" i="1" s="1" a="1"/>
  <c r="E396" i="1" s="1"/>
  <c r="E397" i="1" s="1"/>
  <c r="G395" i="1"/>
  <c r="H395" i="1" s="1"/>
  <c r="D395" i="1"/>
  <c r="H394" i="1"/>
  <c r="E394" i="1" a="1"/>
  <c r="E394" i="1" s="1"/>
  <c r="E395" i="1" s="1"/>
  <c r="G393" i="1"/>
  <c r="D393" i="1"/>
  <c r="H392" i="1"/>
  <c r="E392" i="1" a="1"/>
  <c r="E392" i="1" s="1"/>
  <c r="E393" i="1" s="1"/>
  <c r="H393" i="1"/>
  <c r="G391" i="1"/>
  <c r="H391" i="1" s="1"/>
  <c r="D391" i="1"/>
  <c r="H390" i="1"/>
  <c r="D390" i="1"/>
  <c r="E390" i="1" s="1" a="1"/>
  <c r="E390" i="1" s="1"/>
  <c r="E391" i="1" s="1"/>
  <c r="G389" i="1"/>
  <c r="H389" i="1" s="1"/>
  <c r="D389" i="1"/>
  <c r="H388" i="1"/>
  <c r="D388" i="1"/>
  <c r="E388" i="1" s="1" a="1"/>
  <c r="E388" i="1" s="1"/>
  <c r="E389" i="1" s="1"/>
  <c r="G387" i="1"/>
  <c r="D387" i="1"/>
  <c r="H386" i="1"/>
  <c r="E386" i="1" a="1"/>
  <c r="E386" i="1" s="1"/>
  <c r="E387" i="1" s="1"/>
  <c r="F387" i="1" s="1"/>
  <c r="H387" i="1" s="1"/>
  <c r="D384" i="1"/>
  <c r="E384" i="1" s="1" a="1"/>
  <c r="E384" i="1" s="1"/>
  <c r="E385" i="1" s="1"/>
  <c r="G385" i="1"/>
  <c r="H385" i="1" s="1"/>
  <c r="D385" i="1"/>
  <c r="H384" i="1"/>
  <c r="G383" i="1"/>
  <c r="H383" i="1" s="1"/>
  <c r="D383" i="1"/>
  <c r="H382" i="1"/>
  <c r="E382" i="1" a="1"/>
  <c r="E382" i="1" s="1"/>
  <c r="E383" i="1" s="1"/>
  <c r="G381" i="1"/>
  <c r="D381" i="1"/>
  <c r="H380" i="1"/>
  <c r="E380" i="1" a="1"/>
  <c r="E380" i="1" s="1"/>
  <c r="E381" i="1" s="1"/>
  <c r="H381" i="1"/>
  <c r="E378" i="1" a="1"/>
  <c r="E378" i="1" s="1"/>
  <c r="E379" i="1" s="1"/>
  <c r="G379" i="1"/>
  <c r="H379" i="1" s="1"/>
  <c r="D379" i="1"/>
  <c r="H378" i="1"/>
  <c r="G375" i="1"/>
  <c r="H375" i="1" s="1"/>
  <c r="D375" i="1"/>
  <c r="H374" i="1"/>
  <c r="E374" i="1" a="1"/>
  <c r="E374" i="1" s="1"/>
  <c r="E375" i="1" s="1"/>
  <c r="G373" i="1"/>
  <c r="H373" i="1" s="1"/>
  <c r="D373" i="1"/>
  <c r="H372" i="1"/>
  <c r="E372" i="1" a="1"/>
  <c r="E372" i="1" s="1"/>
  <c r="E373" i="1" s="1"/>
  <c r="G371" i="1"/>
  <c r="H371" i="1" s="1"/>
  <c r="D371" i="1"/>
  <c r="H370" i="1"/>
  <c r="E370" i="1" a="1"/>
  <c r="E370" i="1" s="1"/>
  <c r="E371" i="1" s="1"/>
  <c r="G369" i="1"/>
  <c r="H369" i="1" s="1"/>
  <c r="D369" i="1"/>
  <c r="H368" i="1"/>
  <c r="D368" i="1"/>
  <c r="E368" i="1" s="1" a="1"/>
  <c r="E368" i="1" s="1"/>
  <c r="E369" i="1" s="1"/>
  <c r="G367" i="1"/>
  <c r="H367" i="1" s="1"/>
  <c r="D367" i="1"/>
  <c r="H366" i="1"/>
  <c r="D366" i="1"/>
  <c r="E366" i="1" s="1" a="1"/>
  <c r="E366" i="1" s="1"/>
  <c r="E367" i="1" s="1"/>
  <c r="G365" i="1"/>
  <c r="H365" i="1" s="1"/>
  <c r="D365" i="1"/>
  <c r="H364" i="1"/>
  <c r="E364" i="1" a="1"/>
  <c r="E364" i="1" s="1"/>
  <c r="E365" i="1" s="1"/>
  <c r="G233" i="1"/>
  <c r="D233" i="1"/>
  <c r="H232" i="1"/>
  <c r="D232" i="1"/>
  <c r="E232" i="1" s="1" a="1"/>
  <c r="E232" i="1" s="1"/>
  <c r="E233" i="1" s="1"/>
  <c r="F233" i="1" s="1"/>
  <c r="H233" i="1" s="1"/>
  <c r="G231" i="1"/>
  <c r="H231" i="1" s="1"/>
  <c r="D231" i="1"/>
  <c r="H230" i="1"/>
  <c r="D230" i="1"/>
  <c r="E230" i="1" s="1" a="1"/>
  <c r="E230" i="1" s="1"/>
  <c r="E231" i="1" s="1"/>
  <c r="G363" i="1"/>
  <c r="H363" i="1" s="1"/>
  <c r="D363" i="1"/>
  <c r="H362" i="1"/>
  <c r="E362" i="1" a="1"/>
  <c r="E362" i="1" s="1"/>
  <c r="E363" i="1" s="1"/>
  <c r="G361" i="1"/>
  <c r="H361" i="1" s="1"/>
  <c r="D361" i="1"/>
  <c r="H360" i="1"/>
  <c r="E360" i="1" a="1"/>
  <c r="E360" i="1" s="1"/>
  <c r="E361" i="1" s="1"/>
  <c r="G359" i="1"/>
  <c r="H359" i="1" s="1"/>
  <c r="D359" i="1"/>
  <c r="H358" i="1"/>
  <c r="E358" i="1" a="1"/>
  <c r="E358" i="1" s="1"/>
  <c r="E359" i="1" s="1"/>
  <c r="G357" i="1"/>
  <c r="H357" i="1" s="1"/>
  <c r="D357" i="1"/>
  <c r="H356" i="1"/>
  <c r="E356" i="1" a="1"/>
  <c r="E356" i="1" s="1"/>
  <c r="E357" i="1" s="1"/>
  <c r="P153" i="1"/>
  <c r="D353" i="1"/>
  <c r="G355" i="1"/>
  <c r="H355" i="1" s="1"/>
  <c r="D355" i="1"/>
  <c r="H354" i="1"/>
  <c r="E354" i="1" a="1"/>
  <c r="E354" i="1" s="1"/>
  <c r="E355" i="1" s="1"/>
  <c r="G353" i="1"/>
  <c r="H352" i="1"/>
  <c r="D352" i="1"/>
  <c r="E352" i="1" s="1" a="1"/>
  <c r="E352" i="1" s="1"/>
  <c r="E353" i="1" s="1"/>
  <c r="F353" i="1" s="1"/>
  <c r="H353" i="1" s="1"/>
  <c r="G351" i="1"/>
  <c r="H351" i="1" s="1"/>
  <c r="D351" i="1"/>
  <c r="H350" i="1"/>
  <c r="E350" i="1" a="1"/>
  <c r="E350" i="1" s="1"/>
  <c r="E351" i="1" s="1"/>
  <c r="G349" i="1"/>
  <c r="D349" i="1"/>
  <c r="H348" i="1"/>
  <c r="E348" i="1" a="1"/>
  <c r="E348" i="1" s="1"/>
  <c r="E349" i="1" s="1"/>
  <c r="F349" i="1" s="1"/>
  <c r="H349" i="1" s="1"/>
  <c r="G347" i="1"/>
  <c r="H347" i="1" s="1"/>
  <c r="D347" i="1"/>
  <c r="H346" i="1"/>
  <c r="E346" i="1" a="1"/>
  <c r="E346" i="1" s="1"/>
  <c r="E347" i="1" s="1"/>
  <c r="G147" i="1"/>
  <c r="H147" i="1" s="1"/>
  <c r="D147" i="1"/>
  <c r="H146" i="1"/>
  <c r="D146" i="1"/>
  <c r="E146" i="1" s="1" a="1"/>
  <c r="E146" i="1" s="1"/>
  <c r="E147" i="1" s="1"/>
  <c r="G145" i="1"/>
  <c r="D145" i="1"/>
  <c r="H144" i="1"/>
  <c r="D144" i="1"/>
  <c r="E144" i="1" s="1" a="1"/>
  <c r="E144" i="1" s="1"/>
  <c r="E145" i="1" s="1"/>
  <c r="F145" i="1" s="1"/>
  <c r="H145" i="1" s="1"/>
  <c r="G345" i="1"/>
  <c r="H345" i="1" s="1"/>
  <c r="D345" i="1"/>
  <c r="H344" i="1"/>
  <c r="E344" i="1" a="1"/>
  <c r="E344" i="1" s="1"/>
  <c r="E345" i="1" s="1"/>
  <c r="G343" i="1"/>
  <c r="H343" i="1" s="1"/>
  <c r="D343" i="1"/>
  <c r="H342" i="1"/>
  <c r="E342" i="1" a="1"/>
  <c r="E342" i="1" s="1"/>
  <c r="E343" i="1" s="1"/>
  <c r="G131" i="1"/>
  <c r="H131" i="1" s="1"/>
  <c r="D131" i="1"/>
  <c r="H130" i="1"/>
  <c r="D130" i="1"/>
  <c r="E130" i="1" s="1" a="1"/>
  <c r="E130" i="1" s="1"/>
  <c r="E131" i="1" s="1"/>
  <c r="G331" i="1"/>
  <c r="H331" i="1" s="1"/>
  <c r="D331" i="1"/>
  <c r="H330" i="1"/>
  <c r="D330" i="1"/>
  <c r="E330" i="1" s="1" a="1"/>
  <c r="E330" i="1" s="1"/>
  <c r="E331" i="1" s="1"/>
  <c r="G341" i="1"/>
  <c r="D341" i="1"/>
  <c r="H340" i="1"/>
  <c r="D340" i="1"/>
  <c r="E340" i="1" s="1" a="1"/>
  <c r="E340" i="1" s="1"/>
  <c r="E341" i="1" s="1"/>
  <c r="F341" i="1" s="1"/>
  <c r="G339" i="1"/>
  <c r="H339" i="1" s="1"/>
  <c r="D339" i="1"/>
  <c r="H338" i="1"/>
  <c r="D338" i="1"/>
  <c r="E338" i="1" s="1" a="1"/>
  <c r="E338" i="1" s="1"/>
  <c r="E339" i="1" s="1"/>
  <c r="G337" i="1"/>
  <c r="H337" i="1" s="1"/>
  <c r="D337" i="1"/>
  <c r="H336" i="1"/>
  <c r="E336" i="1" a="1"/>
  <c r="E336" i="1" s="1"/>
  <c r="G335" i="1"/>
  <c r="H335" i="1" s="1"/>
  <c r="D335" i="1"/>
  <c r="H334" i="1"/>
  <c r="E334" i="1" a="1"/>
  <c r="E334" i="1" s="1"/>
  <c r="E335" i="1" s="1"/>
  <c r="G333" i="1"/>
  <c r="H333" i="1" s="1"/>
  <c r="D333" i="1"/>
  <c r="H332" i="1"/>
  <c r="D332" i="1"/>
  <c r="E332" i="1" s="1" a="1"/>
  <c r="E332" i="1" s="1"/>
  <c r="E333" i="1" s="1"/>
  <c r="G329" i="1"/>
  <c r="H329" i="1" s="1"/>
  <c r="D329" i="1"/>
  <c r="H328" i="1"/>
  <c r="E328" i="1" a="1"/>
  <c r="E328" i="1" s="1"/>
  <c r="E329" i="1" s="1"/>
  <c r="G327" i="1"/>
  <c r="D327" i="1"/>
  <c r="H326" i="1"/>
  <c r="D326" i="1"/>
  <c r="E326" i="1" s="1" a="1"/>
  <c r="E326" i="1" s="1"/>
  <c r="G325" i="1"/>
  <c r="D325" i="1"/>
  <c r="H324" i="1"/>
  <c r="D324" i="1"/>
  <c r="E324" i="1" s="1" a="1"/>
  <c r="E324" i="1" s="1"/>
  <c r="E325" i="1" s="1"/>
  <c r="F325" i="1" s="1"/>
  <c r="H325" i="1" s="1"/>
  <c r="G323" i="1"/>
  <c r="H323" i="1" s="1"/>
  <c r="D323" i="1"/>
  <c r="H322" i="1"/>
  <c r="E322" i="1" a="1"/>
  <c r="E322" i="1" s="1"/>
  <c r="E323" i="1" s="1"/>
  <c r="G303" i="1"/>
  <c r="H303" i="1" s="1"/>
  <c r="D303" i="1"/>
  <c r="H302" i="1"/>
  <c r="D302" i="1"/>
  <c r="E302" i="1" s="1" a="1"/>
  <c r="E302" i="1" s="1"/>
  <c r="E303" i="1" s="1"/>
  <c r="G321" i="1"/>
  <c r="H321" i="1"/>
  <c r="D321" i="1"/>
  <c r="H320" i="1"/>
  <c r="D320" i="1"/>
  <c r="E320" i="1" s="1" a="1"/>
  <c r="E320" i="1" s="1"/>
  <c r="E321" i="1" s="1"/>
  <c r="G319" i="1"/>
  <c r="H319" i="1"/>
  <c r="D319" i="1"/>
  <c r="H318" i="1"/>
  <c r="D318" i="1"/>
  <c r="E318" i="1" s="1" a="1"/>
  <c r="E318" i="1" s="1"/>
  <c r="E319" i="1" s="1"/>
  <c r="G309" i="1"/>
  <c r="H309" i="1"/>
  <c r="D309" i="1"/>
  <c r="H308" i="1"/>
  <c r="D308" i="1"/>
  <c r="E308" i="1" s="1" a="1"/>
  <c r="E308" i="1" s="1"/>
  <c r="E309" i="1" s="1"/>
  <c r="G209" i="1"/>
  <c r="G317" i="1"/>
  <c r="H317" i="1"/>
  <c r="D317" i="1"/>
  <c r="H316" i="1"/>
  <c r="D316" i="1"/>
  <c r="E316" i="1" s="1" a="1"/>
  <c r="E316" i="1" s="1"/>
  <c r="E317" i="1" s="1"/>
  <c r="G315" i="1"/>
  <c r="H315" i="1" s="1"/>
  <c r="D315" i="1"/>
  <c r="H314" i="1"/>
  <c r="D314" i="1"/>
  <c r="E314" i="1" s="1" a="1"/>
  <c r="E314" i="1" s="1"/>
  <c r="E315" i="1" s="1"/>
  <c r="G313" i="1"/>
  <c r="H313" i="1" s="1"/>
  <c r="D313" i="1"/>
  <c r="H312" i="1"/>
  <c r="D312" i="1"/>
  <c r="E312" i="1" s="1" a="1"/>
  <c r="E312" i="1" s="1"/>
  <c r="E313" i="1" s="1"/>
  <c r="G151" i="1"/>
  <c r="H151" i="1" s="1"/>
  <c r="D151" i="1"/>
  <c r="H150" i="1"/>
  <c r="D150" i="1"/>
  <c r="E150" i="1" s="1" a="1"/>
  <c r="E150" i="1" s="1"/>
  <c r="E151" i="1" s="1"/>
  <c r="G311" i="1"/>
  <c r="H311" i="1" s="1"/>
  <c r="D311" i="1"/>
  <c r="H310" i="1"/>
  <c r="D310" i="1"/>
  <c r="E310" i="1" s="1" a="1"/>
  <c r="E310" i="1" s="1"/>
  <c r="E311" i="1" s="1"/>
  <c r="G307" i="1"/>
  <c r="H307" i="1" s="1"/>
  <c r="D307" i="1"/>
  <c r="H306" i="1"/>
  <c r="D306" i="1"/>
  <c r="E306" i="1" s="1" a="1"/>
  <c r="E306" i="1" s="1"/>
  <c r="E307" i="1" s="1"/>
  <c r="G305" i="1"/>
  <c r="H305" i="1" s="1"/>
  <c r="D305" i="1"/>
  <c r="H304" i="1"/>
  <c r="D304" i="1"/>
  <c r="E304" i="1" s="1" a="1"/>
  <c r="E304" i="1" s="1"/>
  <c r="E305" i="1" s="1"/>
  <c r="G299" i="1"/>
  <c r="H299" i="1" s="1"/>
  <c r="D299" i="1"/>
  <c r="H298" i="1"/>
  <c r="D298" i="1"/>
  <c r="E298" i="1" s="1" a="1"/>
  <c r="E298" i="1" s="1"/>
  <c r="E299" i="1" s="1"/>
  <c r="G301" i="1"/>
  <c r="H301" i="1" s="1"/>
  <c r="D301" i="1"/>
  <c r="H300" i="1"/>
  <c r="D300" i="1"/>
  <c r="E300" i="1" s="1" a="1"/>
  <c r="E300" i="1" s="1"/>
  <c r="E301" i="1" s="1"/>
  <c r="D251" i="1"/>
  <c r="G253" i="1"/>
  <c r="D253" i="1"/>
  <c r="H252" i="1"/>
  <c r="D252" i="1"/>
  <c r="E252" i="1" s="1" a="1"/>
  <c r="E252" i="1" s="1"/>
  <c r="E253" i="1" s="1"/>
  <c r="F253" i="1" s="1"/>
  <c r="H253" i="1" s="1"/>
  <c r="G297" i="1"/>
  <c r="H297" i="1" s="1"/>
  <c r="D297" i="1"/>
  <c r="H296" i="1"/>
  <c r="D296" i="1"/>
  <c r="E296" i="1" s="1" a="1"/>
  <c r="E296" i="1" s="1"/>
  <c r="E297" i="1" s="1"/>
  <c r="G295" i="1"/>
  <c r="H295" i="1" s="1"/>
  <c r="D295" i="1"/>
  <c r="H294" i="1"/>
  <c r="E294" i="1" a="1"/>
  <c r="E294" i="1" s="1"/>
  <c r="E295" i="1" s="1"/>
  <c r="G293" i="1"/>
  <c r="H293" i="1" s="1"/>
  <c r="D293" i="1"/>
  <c r="H292" i="1"/>
  <c r="D292" i="1"/>
  <c r="E292" i="1" s="1" a="1"/>
  <c r="E292" i="1" s="1"/>
  <c r="E293" i="1" s="1"/>
  <c r="G291" i="1"/>
  <c r="H291" i="1" s="1"/>
  <c r="D291" i="1"/>
  <c r="H290" i="1"/>
  <c r="D290" i="1"/>
  <c r="E290" i="1" s="1" a="1"/>
  <c r="E290" i="1" s="1"/>
  <c r="E291" i="1" s="1"/>
  <c r="G289" i="1"/>
  <c r="H289" i="1" s="1"/>
  <c r="D289" i="1"/>
  <c r="H288" i="1"/>
  <c r="D288" i="1"/>
  <c r="E288" i="1" s="1" a="1"/>
  <c r="E288" i="1" s="1"/>
  <c r="E289" i="1" s="1"/>
  <c r="G287" i="1"/>
  <c r="H287" i="1"/>
  <c r="D287" i="1"/>
  <c r="H286" i="1"/>
  <c r="D286" i="1"/>
  <c r="E286" i="1" s="1" a="1"/>
  <c r="E286" i="1" s="1"/>
  <c r="E287" i="1" s="1"/>
  <c r="G285" i="1"/>
  <c r="H285" i="1"/>
  <c r="D285" i="1"/>
  <c r="H284" i="1"/>
  <c r="D284" i="1"/>
  <c r="E284" i="1" s="1" a="1"/>
  <c r="E284" i="1" s="1"/>
  <c r="E285" i="1" s="1"/>
  <c r="G283" i="1"/>
  <c r="H283" i="1" s="1"/>
  <c r="D283" i="1"/>
  <c r="H282" i="1"/>
  <c r="D282" i="1"/>
  <c r="E282" i="1" s="1" a="1"/>
  <c r="E282" i="1" s="1"/>
  <c r="E283" i="1" s="1"/>
  <c r="G281" i="1"/>
  <c r="H281" i="1"/>
  <c r="D281" i="1"/>
  <c r="H280" i="1"/>
  <c r="E280" i="1" a="1"/>
  <c r="E280" i="1" s="1"/>
  <c r="E281" i="1" s="1"/>
  <c r="G279" i="1"/>
  <c r="H279" i="1" s="1"/>
  <c r="D279" i="1"/>
  <c r="H278" i="1"/>
  <c r="D278" i="1"/>
  <c r="E278" i="1" s="1" a="1"/>
  <c r="E278" i="1" s="1"/>
  <c r="E279" i="1" s="1"/>
  <c r="G277" i="1"/>
  <c r="H277" i="1" s="1"/>
  <c r="D277" i="1"/>
  <c r="H276" i="1"/>
  <c r="D276" i="1"/>
  <c r="E276" i="1" s="1" a="1"/>
  <c r="E276" i="1" s="1"/>
  <c r="E277" i="1" s="1"/>
  <c r="G275" i="1"/>
  <c r="H275" i="1" s="1"/>
  <c r="D275" i="1"/>
  <c r="H274" i="1"/>
  <c r="D274" i="1"/>
  <c r="E274" i="1" s="1" a="1"/>
  <c r="E274" i="1" s="1"/>
  <c r="E275" i="1" s="1"/>
  <c r="G273" i="1"/>
  <c r="H273" i="1" s="1"/>
  <c r="D273" i="1"/>
  <c r="H272" i="1"/>
  <c r="D272" i="1"/>
  <c r="E272" i="1" s="1" a="1"/>
  <c r="E272" i="1" s="1"/>
  <c r="E273" i="1" s="1"/>
  <c r="G271" i="1"/>
  <c r="H271" i="1" s="1"/>
  <c r="D271" i="1"/>
  <c r="H270" i="1"/>
  <c r="D270" i="1"/>
  <c r="E270" i="1" s="1" a="1"/>
  <c r="E270" i="1" s="1"/>
  <c r="E271" i="1" s="1"/>
  <c r="G269" i="1"/>
  <c r="H269" i="1" s="1"/>
  <c r="D268" i="1"/>
  <c r="E268" i="1" s="1" a="1"/>
  <c r="E268" i="1" s="1"/>
  <c r="E269" i="1" s="1"/>
  <c r="D269" i="1"/>
  <c r="H268" i="1"/>
  <c r="G169" i="1"/>
  <c r="H169" i="1" s="1"/>
  <c r="D169" i="1"/>
  <c r="H168" i="1"/>
  <c r="D168" i="1"/>
  <c r="E168" i="1" s="1" a="1"/>
  <c r="E168" i="1" s="1"/>
  <c r="E169" i="1" s="1"/>
  <c r="G267" i="1"/>
  <c r="H267" i="1" s="1"/>
  <c r="D267" i="1"/>
  <c r="H266" i="1"/>
  <c r="D266" i="1"/>
  <c r="E266" i="1" s="1" a="1"/>
  <c r="E266" i="1" s="1"/>
  <c r="E267" i="1" s="1"/>
  <c r="G265" i="1"/>
  <c r="H265" i="1" s="1"/>
  <c r="D265" i="1"/>
  <c r="H264" i="1"/>
  <c r="D264" i="1"/>
  <c r="E264" i="1" s="1" a="1"/>
  <c r="E264" i="1" s="1"/>
  <c r="E265" i="1" s="1"/>
  <c r="G263" i="1"/>
  <c r="H263" i="1" s="1"/>
  <c r="D263" i="1"/>
  <c r="H262" i="1"/>
  <c r="D262" i="1"/>
  <c r="E262" i="1" s="1" a="1"/>
  <c r="E262" i="1" s="1"/>
  <c r="E263" i="1" s="1"/>
  <c r="G261" i="1"/>
  <c r="H261" i="1" s="1"/>
  <c r="D261" i="1"/>
  <c r="H260" i="1"/>
  <c r="D260" i="1"/>
  <c r="E260" i="1" s="1" a="1"/>
  <c r="E260" i="1" s="1"/>
  <c r="E261" i="1" s="1"/>
  <c r="G239" i="1"/>
  <c r="H239" i="1" s="1"/>
  <c r="D239" i="1"/>
  <c r="H238" i="1"/>
  <c r="D238" i="1"/>
  <c r="E238" i="1" s="1" a="1"/>
  <c r="E238" i="1" s="1"/>
  <c r="E239" i="1" s="1"/>
  <c r="G259" i="1"/>
  <c r="H259" i="1" s="1"/>
  <c r="D259" i="1"/>
  <c r="H258" i="1"/>
  <c r="D258" i="1"/>
  <c r="E258" i="1" s="1" a="1"/>
  <c r="E258" i="1" s="1"/>
  <c r="E259" i="1" s="1"/>
  <c r="D257" i="1"/>
  <c r="D256" i="1"/>
  <c r="E256" i="1" s="1" a="1"/>
  <c r="E256" i="1" s="1"/>
  <c r="E257" i="1" s="1"/>
  <c r="G257" i="1"/>
  <c r="H257" i="1"/>
  <c r="H256" i="1"/>
  <c r="G255" i="1"/>
  <c r="H255" i="1" s="1"/>
  <c r="D255" i="1"/>
  <c r="H254" i="1"/>
  <c r="E254" i="1" a="1"/>
  <c r="E254" i="1" s="1"/>
  <c r="E255" i="1" s="1"/>
  <c r="G237" i="1"/>
  <c r="H237" i="1" s="1"/>
  <c r="D237" i="1"/>
  <c r="H236" i="1"/>
  <c r="D236" i="1"/>
  <c r="E236" i="1" s="1" a="1"/>
  <c r="E236" i="1" s="1"/>
  <c r="E237" i="1" s="1"/>
  <c r="G235" i="1"/>
  <c r="H235" i="1" s="1"/>
  <c r="D235" i="1"/>
  <c r="H234" i="1"/>
  <c r="D234" i="1"/>
  <c r="E234" i="1" s="1" a="1"/>
  <c r="E234" i="1" s="1"/>
  <c r="E235" i="1" s="1"/>
  <c r="G165" i="1"/>
  <c r="D165" i="1"/>
  <c r="H164" i="1"/>
  <c r="D164" i="1"/>
  <c r="E164" i="1" s="1" a="1"/>
  <c r="E164" i="1" s="1"/>
  <c r="E165" i="1" s="1"/>
  <c r="F165" i="1" s="1"/>
  <c r="G187" i="1"/>
  <c r="H187" i="1" s="1"/>
  <c r="D187" i="1"/>
  <c r="H186" i="1"/>
  <c r="E186" i="1" a="1"/>
  <c r="E186" i="1" s="1"/>
  <c r="E187" i="1" s="1"/>
  <c r="G185" i="1"/>
  <c r="H185" i="1" s="1"/>
  <c r="D185" i="1"/>
  <c r="H184" i="1"/>
  <c r="E184" i="1" a="1"/>
  <c r="E184" i="1" s="1"/>
  <c r="E185" i="1" s="1"/>
  <c r="AE529" i="1"/>
  <c r="G211" i="1"/>
  <c r="H211" i="1"/>
  <c r="D211" i="1"/>
  <c r="H210" i="1"/>
  <c r="E210" i="1" a="1"/>
  <c r="E210" i="1" s="1"/>
  <c r="E211" i="1" s="1"/>
  <c r="G229" i="1"/>
  <c r="H229" i="1" s="1"/>
  <c r="D229" i="1"/>
  <c r="H228" i="1"/>
  <c r="D228" i="1"/>
  <c r="E228" i="1" s="1" a="1"/>
  <c r="E228" i="1" s="1"/>
  <c r="E229" i="1" s="1"/>
  <c r="G225" i="1"/>
  <c r="H225" i="1" s="1"/>
  <c r="D225" i="1"/>
  <c r="H224" i="1"/>
  <c r="D224" i="1"/>
  <c r="E224" i="1" s="1" a="1"/>
  <c r="E224" i="1" s="1"/>
  <c r="E225" i="1" s="1"/>
  <c r="G167" i="1"/>
  <c r="H167" i="1" s="1"/>
  <c r="D167" i="1"/>
  <c r="H166" i="1"/>
  <c r="D166" i="1"/>
  <c r="E166" i="1" s="1" a="1"/>
  <c r="E166" i="1" s="1"/>
  <c r="E167" i="1" s="1"/>
  <c r="G251" i="1"/>
  <c r="H250" i="1"/>
  <c r="D250" i="1"/>
  <c r="E250" i="1" s="1" a="1"/>
  <c r="E250" i="1" s="1"/>
  <c r="E251" i="1" s="1"/>
  <c r="F251" i="1" s="1"/>
  <c r="H251" i="1" s="1"/>
  <c r="G223" i="1"/>
  <c r="H223" i="1"/>
  <c r="D223" i="1"/>
  <c r="H222" i="1"/>
  <c r="D222" i="1"/>
  <c r="E222" i="1" s="1" a="1"/>
  <c r="E222" i="1" s="1"/>
  <c r="E223" i="1" s="1"/>
  <c r="G221" i="1"/>
  <c r="H221" i="1"/>
  <c r="D221" i="1"/>
  <c r="H220" i="1"/>
  <c r="D220" i="1"/>
  <c r="E220" i="1" s="1" a="1"/>
  <c r="E220" i="1" s="1"/>
  <c r="E221" i="1" s="1"/>
  <c r="G219" i="1"/>
  <c r="H219" i="1" s="1"/>
  <c r="D219" i="1"/>
  <c r="H218" i="1"/>
  <c r="D218" i="1"/>
  <c r="E218" i="1" s="1" a="1"/>
  <c r="E218" i="1" s="1"/>
  <c r="E219" i="1" s="1"/>
  <c r="G217" i="1"/>
  <c r="H217" i="1" s="1"/>
  <c r="D217" i="1"/>
  <c r="H216" i="1"/>
  <c r="D216" i="1"/>
  <c r="E216" i="1" s="1" a="1"/>
  <c r="E216" i="1" s="1"/>
  <c r="E217" i="1" s="1"/>
  <c r="G193" i="1"/>
  <c r="H193" i="1" s="1"/>
  <c r="D193" i="1"/>
  <c r="H192" i="1"/>
  <c r="E192" i="1" a="1"/>
  <c r="E192" i="1" s="1"/>
  <c r="E193" i="1" s="1"/>
  <c r="D227" i="1"/>
  <c r="G227" i="1"/>
  <c r="H227" i="1" s="1"/>
  <c r="H226" i="1"/>
  <c r="D226" i="1"/>
  <c r="E226" i="1" s="1" a="1"/>
  <c r="E226" i="1" s="1"/>
  <c r="E227" i="1" s="1"/>
  <c r="G214" i="1"/>
  <c r="G215" i="1"/>
  <c r="H215" i="1" s="1"/>
  <c r="F214" i="1"/>
  <c r="H214" i="1" s="1"/>
  <c r="D215" i="1"/>
  <c r="D214" i="1"/>
  <c r="E214" i="1" s="1" a="1"/>
  <c r="E214" i="1" s="1"/>
  <c r="E215" i="1" s="1"/>
  <c r="G213" i="1"/>
  <c r="G249" i="1"/>
  <c r="H249" i="1" s="1"/>
  <c r="D249" i="1"/>
  <c r="H248" i="1"/>
  <c r="D248" i="1"/>
  <c r="E248" i="1" s="1" a="1"/>
  <c r="E248" i="1" s="1"/>
  <c r="E249" i="1" s="1"/>
  <c r="G5" i="1"/>
  <c r="D5" i="1"/>
  <c r="H4" i="1"/>
  <c r="D4" i="1"/>
  <c r="E4" i="1" s="1" a="1"/>
  <c r="E4" i="1" s="1"/>
  <c r="E5" i="1" s="1"/>
  <c r="F5" i="1" s="1"/>
  <c r="H5" i="1" s="1"/>
  <c r="G3" i="1"/>
  <c r="H2" i="1"/>
  <c r="D3" i="1"/>
  <c r="D2" i="1"/>
  <c r="E2" i="1" s="1" a="1"/>
  <c r="E2" i="1" s="1"/>
  <c r="E3" i="1" s="1"/>
  <c r="F3" i="1" s="1"/>
  <c r="H3" i="1" s="1"/>
  <c r="D246" i="1"/>
  <c r="E246" i="1" s="1" a="1"/>
  <c r="E246" i="1" s="1"/>
  <c r="E247" i="1" s="1"/>
  <c r="F247" i="1" s="1"/>
  <c r="G247" i="1"/>
  <c r="D247" i="1"/>
  <c r="H246" i="1"/>
  <c r="G245" i="1"/>
  <c r="D245" i="1"/>
  <c r="H244" i="1"/>
  <c r="D244" i="1"/>
  <c r="E244" i="1" s="1" a="1"/>
  <c r="E244" i="1" s="1"/>
  <c r="E245" i="1" s="1"/>
  <c r="F245" i="1" s="1"/>
  <c r="H245" i="1" s="1"/>
  <c r="G243" i="1"/>
  <c r="H243" i="1" s="1"/>
  <c r="H242" i="1"/>
  <c r="E242" i="1" a="1"/>
  <c r="E242" i="1" s="1"/>
  <c r="E243" i="1" s="1"/>
  <c r="G161" i="1"/>
  <c r="D161" i="1"/>
  <c r="H160" i="1"/>
  <c r="D160" i="1"/>
  <c r="E160" i="1" s="1" a="1"/>
  <c r="E160" i="1" s="1"/>
  <c r="E161" i="1" s="1"/>
  <c r="F161" i="1" s="1"/>
  <c r="H161" i="1" s="1"/>
  <c r="G201" i="1"/>
  <c r="H201" i="1"/>
  <c r="D201" i="1"/>
  <c r="H200" i="1"/>
  <c r="D200" i="1"/>
  <c r="E200" i="1" s="1" a="1"/>
  <c r="E200" i="1" s="1"/>
  <c r="E201" i="1" s="1"/>
  <c r="G191" i="1"/>
  <c r="D191" i="1"/>
  <c r="H190" i="1"/>
  <c r="E190" i="1" a="1"/>
  <c r="E190" i="1" s="1"/>
  <c r="E191" i="1" s="1"/>
  <c r="F191" i="1" s="1"/>
  <c r="H191" i="1" s="1"/>
  <c r="G241" i="1"/>
  <c r="D241" i="1"/>
  <c r="H240" i="1"/>
  <c r="E240" i="1" a="1"/>
  <c r="E240" i="1" s="1"/>
  <c r="E241" i="1" s="1"/>
  <c r="F241" i="1" s="1"/>
  <c r="H241" i="1" s="1"/>
  <c r="D213" i="1"/>
  <c r="D212" i="1"/>
  <c r="E212" i="1" s="1" a="1"/>
  <c r="E212" i="1" s="1"/>
  <c r="E213" i="1" s="1"/>
  <c r="F213" i="1" s="1"/>
  <c r="H213" i="1" s="1"/>
  <c r="H212" i="1"/>
  <c r="D209" i="1"/>
  <c r="H208" i="1"/>
  <c r="E208" i="1" a="1"/>
  <c r="E208" i="1" s="1"/>
  <c r="E209" i="1" s="1"/>
  <c r="F209" i="1" s="1"/>
  <c r="G207" i="1"/>
  <c r="D207" i="1"/>
  <c r="H206" i="1"/>
  <c r="E206" i="1" a="1"/>
  <c r="E206" i="1" s="1"/>
  <c r="E207" i="1" s="1"/>
  <c r="F207" i="1" s="1"/>
  <c r="H207" i="1" s="1"/>
  <c r="D204" i="1"/>
  <c r="E205" i="1"/>
  <c r="G205" i="1"/>
  <c r="H205" i="1" s="1"/>
  <c r="D205" i="1"/>
  <c r="H204" i="1"/>
  <c r="G203" i="1"/>
  <c r="H203" i="1" s="1"/>
  <c r="D203" i="1"/>
  <c r="H202" i="1"/>
  <c r="D202" i="1"/>
  <c r="E202" i="1" s="1" a="1"/>
  <c r="E202" i="1" s="1"/>
  <c r="E203" i="1" s="1"/>
  <c r="G189" i="1"/>
  <c r="D189" i="1"/>
  <c r="H188" i="1"/>
  <c r="E188" i="1" a="1"/>
  <c r="E188" i="1" s="1"/>
  <c r="E189" i="1" s="1"/>
  <c r="F189" i="1" s="1"/>
  <c r="H189" i="1" s="1"/>
  <c r="D198" i="1"/>
  <c r="E198" i="1" s="1" a="1"/>
  <c r="E198" i="1" s="1"/>
  <c r="E199" i="1" s="1"/>
  <c r="G199" i="1"/>
  <c r="H199" i="1"/>
  <c r="D199" i="1"/>
  <c r="H198" i="1"/>
  <c r="G197" i="1"/>
  <c r="H197" i="1" s="1"/>
  <c r="D197" i="1"/>
  <c r="H196" i="1"/>
  <c r="E196" i="1" a="1"/>
  <c r="E196" i="1" s="1"/>
  <c r="E197" i="1" s="1"/>
  <c r="G183" i="1"/>
  <c r="H183" i="1" s="1"/>
  <c r="D183" i="1"/>
  <c r="H182" i="1"/>
  <c r="D182" i="1"/>
  <c r="E182" i="1" s="1" a="1"/>
  <c r="E182" i="1" s="1"/>
  <c r="E183" i="1" s="1"/>
  <c r="G179" i="1"/>
  <c r="H179" i="1"/>
  <c r="D179" i="1"/>
  <c r="H178" i="1"/>
  <c r="D178" i="1"/>
  <c r="E178" i="1" s="1" a="1"/>
  <c r="E178" i="1" s="1"/>
  <c r="E179" i="1" s="1"/>
  <c r="D180" i="1"/>
  <c r="G181" i="1"/>
  <c r="H181" i="1" s="1"/>
  <c r="D181" i="1"/>
  <c r="H180" i="1"/>
  <c r="D176" i="1"/>
  <c r="E176" i="1" s="1" a="1"/>
  <c r="E176" i="1" s="1"/>
  <c r="E177" i="1" s="1"/>
  <c r="G177" i="1"/>
  <c r="H177" i="1" s="1"/>
  <c r="D177" i="1"/>
  <c r="H176" i="1"/>
  <c r="G163" i="1"/>
  <c r="H163" i="1" s="1"/>
  <c r="D163" i="1"/>
  <c r="H162" i="1"/>
  <c r="D162" i="1"/>
  <c r="E162" i="1" s="1" a="1"/>
  <c r="E162" i="1" s="1"/>
  <c r="E163" i="1" s="1"/>
  <c r="G175" i="1"/>
  <c r="D175" i="1"/>
  <c r="H174" i="1"/>
  <c r="E174" i="1" a="1"/>
  <c r="E174" i="1" s="1"/>
  <c r="E175" i="1" s="1"/>
  <c r="F175" i="1" s="1"/>
  <c r="H175" i="1" s="1"/>
  <c r="G173" i="1"/>
  <c r="H173" i="1" s="1"/>
  <c r="D173" i="1"/>
  <c r="H172" i="1"/>
  <c r="D172" i="1"/>
  <c r="E172" i="1" s="1" a="1"/>
  <c r="E172" i="1" s="1"/>
  <c r="E173" i="1" s="1"/>
  <c r="G171" i="1"/>
  <c r="D171" i="1"/>
  <c r="H170" i="1"/>
  <c r="D170" i="1"/>
  <c r="E170" i="1" s="1" a="1"/>
  <c r="E170" i="1" s="1"/>
  <c r="E171" i="1" s="1"/>
  <c r="F171" i="1" s="1"/>
  <c r="H171" i="1" s="1"/>
  <c r="G159" i="1"/>
  <c r="D159" i="1"/>
  <c r="H158" i="1"/>
  <c r="D158" i="1"/>
  <c r="E158" i="1" s="1" a="1"/>
  <c r="E158" i="1" s="1"/>
  <c r="E159" i="1" s="1"/>
  <c r="F159" i="1" s="1"/>
  <c r="H159" i="1" s="1"/>
  <c r="G157" i="1"/>
  <c r="D157" i="1"/>
  <c r="F156" i="1"/>
  <c r="H156" i="1"/>
  <c r="D156" i="1"/>
  <c r="E156" i="1" s="1" a="1"/>
  <c r="E156" i="1" s="1"/>
  <c r="E157" i="1" s="1"/>
  <c r="F157" i="1" s="1"/>
  <c r="H157" i="1" s="1"/>
  <c r="G155" i="1"/>
  <c r="D155" i="1"/>
  <c r="H154" i="1"/>
  <c r="D154" i="1"/>
  <c r="E154" i="1" s="1" a="1"/>
  <c r="E154" i="1" s="1"/>
  <c r="E155" i="1" s="1"/>
  <c r="F155" i="1" s="1"/>
  <c r="H153" i="1"/>
  <c r="E153" i="1"/>
  <c r="D153" i="1"/>
  <c r="H152" i="1"/>
  <c r="D152" i="1"/>
  <c r="G149" i="1"/>
  <c r="H149" i="1" s="1"/>
  <c r="D149" i="1"/>
  <c r="H148" i="1"/>
  <c r="D148" i="1"/>
  <c r="E148" i="1" s="1" a="1"/>
  <c r="E148" i="1" s="1"/>
  <c r="E149" i="1" s="1"/>
  <c r="G143" i="1"/>
  <c r="H143" i="1" s="1"/>
  <c r="D143" i="1"/>
  <c r="H142" i="1"/>
  <c r="D142" i="1"/>
  <c r="E142" i="1" s="1" a="1"/>
  <c r="E142" i="1" s="1"/>
  <c r="E143" i="1" s="1"/>
  <c r="G141" i="1"/>
  <c r="H141" i="1" s="1"/>
  <c r="D141" i="1"/>
  <c r="H140" i="1"/>
  <c r="D140" i="1"/>
  <c r="E140" i="1" s="1" a="1"/>
  <c r="E140" i="1" s="1"/>
  <c r="E141" i="1" s="1"/>
  <c r="G139" i="1"/>
  <c r="H139" i="1" s="1"/>
  <c r="D139" i="1"/>
  <c r="H138" i="1"/>
  <c r="D138" i="1"/>
  <c r="E138" i="1" s="1" a="1"/>
  <c r="E138" i="1" s="1"/>
  <c r="E139" i="1" s="1"/>
  <c r="D137" i="1"/>
  <c r="G136" i="1"/>
  <c r="G137" i="1" s="1"/>
  <c r="H137" i="1" s="1"/>
  <c r="F136" i="1"/>
  <c r="H136" i="1"/>
  <c r="D136" i="1"/>
  <c r="E136" i="1" s="1" a="1"/>
  <c r="E136" i="1" s="1"/>
  <c r="E137" i="1" s="1"/>
  <c r="G135" i="1"/>
  <c r="H135" i="1"/>
  <c r="D135" i="1"/>
  <c r="H134" i="1"/>
  <c r="D134" i="1"/>
  <c r="E134" i="1" s="1" a="1"/>
  <c r="E134" i="1" s="1"/>
  <c r="E135" i="1" s="1"/>
  <c r="G133" i="1"/>
  <c r="H133" i="1" s="1"/>
  <c r="D133" i="1"/>
  <c r="H132" i="1"/>
  <c r="D132" i="1"/>
  <c r="E132" i="1" s="1" a="1"/>
  <c r="E132" i="1" s="1"/>
  <c r="E133" i="1" s="1"/>
  <c r="G129" i="1"/>
  <c r="D129" i="1"/>
  <c r="H128" i="1"/>
  <c r="D128" i="1"/>
  <c r="E128" i="1" s="1" a="1"/>
  <c r="E128" i="1" s="1"/>
  <c r="E129" i="1" s="1"/>
  <c r="F129" i="1" s="1"/>
  <c r="H129" i="1" s="1"/>
  <c r="G127" i="1"/>
  <c r="D127" i="1"/>
  <c r="H126" i="1"/>
  <c r="D126" i="1"/>
  <c r="E126" i="1" s="1" a="1"/>
  <c r="E126" i="1" s="1"/>
  <c r="E127" i="1" s="1"/>
  <c r="F127" i="1" s="1"/>
  <c r="H127" i="1" s="1"/>
  <c r="G125" i="1"/>
  <c r="D125" i="1"/>
  <c r="H124" i="1"/>
  <c r="D124" i="1"/>
  <c r="E124" i="1" s="1" a="1"/>
  <c r="E124" i="1" s="1"/>
  <c r="E125" i="1" s="1"/>
  <c r="F125" i="1" s="1"/>
  <c r="H125" i="1" s="1"/>
  <c r="G123" i="1"/>
  <c r="D123" i="1"/>
  <c r="H122" i="1"/>
  <c r="D122" i="1"/>
  <c r="E122" i="1" s="1" a="1"/>
  <c r="E122" i="1" s="1"/>
  <c r="E123" i="1" s="1"/>
  <c r="F123" i="1" s="1"/>
  <c r="H123" i="1" s="1"/>
  <c r="G121" i="1"/>
  <c r="H121" i="1" s="1"/>
  <c r="D121" i="1"/>
  <c r="H120" i="1"/>
  <c r="D120" i="1"/>
  <c r="E120" i="1" s="1" a="1"/>
  <c r="E120" i="1" s="1"/>
  <c r="E121" i="1" s="1"/>
  <c r="G119" i="1"/>
  <c r="H119" i="1" s="1"/>
  <c r="D119" i="1"/>
  <c r="O118" i="1"/>
  <c r="H118" i="1"/>
  <c r="D118" i="1"/>
  <c r="E118" i="1" s="1" a="1"/>
  <c r="E118" i="1" s="1"/>
  <c r="E119" i="1" s="1"/>
  <c r="G117" i="1"/>
  <c r="H117" i="1" s="1"/>
  <c r="D117" i="1"/>
  <c r="H116" i="1"/>
  <c r="D116" i="1"/>
  <c r="E116" i="1" s="1" a="1"/>
  <c r="E116" i="1" s="1"/>
  <c r="E117" i="1" s="1"/>
  <c r="D115" i="1"/>
  <c r="G114" i="1"/>
  <c r="G115" i="1"/>
  <c r="F114" i="1"/>
  <c r="H114" i="1"/>
  <c r="D114" i="1"/>
  <c r="E114" i="1" s="1" a="1"/>
  <c r="E114" i="1" s="1"/>
  <c r="E115" i="1" s="1"/>
  <c r="F115" i="1" s="1"/>
  <c r="H115" i="1" s="1"/>
  <c r="D113" i="1"/>
  <c r="G112" i="1"/>
  <c r="G113" i="1"/>
  <c r="F112" i="1"/>
  <c r="H112" i="1"/>
  <c r="D112" i="1"/>
  <c r="E112" i="1" s="1" a="1"/>
  <c r="E112" i="1" s="1"/>
  <c r="E113" i="1" s="1"/>
  <c r="F113" i="1" s="1"/>
  <c r="H113" i="1" s="1"/>
  <c r="D111" i="1"/>
  <c r="G110" i="1"/>
  <c r="G111" i="1"/>
  <c r="F110" i="1"/>
  <c r="H110" i="1" s="1"/>
  <c r="D110" i="1"/>
  <c r="E110" i="1" s="1" a="1"/>
  <c r="E110" i="1" s="1"/>
  <c r="E111" i="1" s="1"/>
  <c r="F111" i="1" s="1"/>
  <c r="H111" i="1" s="1"/>
  <c r="D109" i="1"/>
  <c r="G108" i="1"/>
  <c r="G109" i="1"/>
  <c r="F108" i="1"/>
  <c r="H108" i="1" s="1"/>
  <c r="D108" i="1"/>
  <c r="E108" i="1" s="1" a="1"/>
  <c r="E108" i="1" s="1"/>
  <c r="E109" i="1" s="1"/>
  <c r="F109" i="1" s="1"/>
  <c r="H109" i="1" s="1"/>
  <c r="D107" i="1"/>
  <c r="O106" i="1"/>
  <c r="G106" i="1"/>
  <c r="G107" i="1"/>
  <c r="F106" i="1"/>
  <c r="H106" i="1" s="1"/>
  <c r="D106" i="1"/>
  <c r="E106" i="1" s="1" a="1"/>
  <c r="E106" i="1" s="1"/>
  <c r="E107" i="1" s="1"/>
  <c r="F107" i="1" s="1"/>
  <c r="H107" i="1" s="1"/>
  <c r="G105" i="1"/>
  <c r="D105" i="1"/>
  <c r="O104" i="1"/>
  <c r="H104" i="1"/>
  <c r="D104" i="1"/>
  <c r="E104" i="1" s="1" a="1"/>
  <c r="E104" i="1" s="1"/>
  <c r="E105" i="1" s="1"/>
  <c r="F105" i="1" s="1"/>
  <c r="H105" i="1" s="1"/>
  <c r="D103" i="1"/>
  <c r="O102" i="1"/>
  <c r="H102" i="1"/>
  <c r="D102" i="1"/>
  <c r="E102" i="1" s="1" a="1"/>
  <c r="E102" i="1" s="1"/>
  <c r="E103" i="1" s="1"/>
  <c r="F103" i="1" s="1"/>
  <c r="H103" i="1" s="1"/>
  <c r="G101" i="1"/>
  <c r="H101" i="1" s="1"/>
  <c r="D101" i="1"/>
  <c r="H100" i="1"/>
  <c r="D100" i="1"/>
  <c r="E100" i="1" s="1" a="1"/>
  <c r="E100" i="1" s="1"/>
  <c r="E101" i="1" s="1"/>
  <c r="G95" i="1"/>
  <c r="H95" i="1" s="1"/>
  <c r="D95" i="1"/>
  <c r="H94" i="1"/>
  <c r="D94" i="1"/>
  <c r="E94" i="1" s="1" a="1"/>
  <c r="E94" i="1" s="1"/>
  <c r="E95" i="1" s="1"/>
  <c r="G99" i="1"/>
  <c r="H99" i="1" s="1"/>
  <c r="D99" i="1"/>
  <c r="H98" i="1"/>
  <c r="D98" i="1"/>
  <c r="E98" i="1" s="1" a="1"/>
  <c r="E98" i="1" s="1"/>
  <c r="E99" i="1" s="1"/>
  <c r="G93" i="1"/>
  <c r="H93" i="1" s="1"/>
  <c r="D93" i="1"/>
  <c r="H92" i="1"/>
  <c r="D92" i="1"/>
  <c r="E92" i="1" s="1" a="1"/>
  <c r="E92" i="1" s="1"/>
  <c r="E93" i="1" s="1"/>
  <c r="G97" i="1"/>
  <c r="H97" i="1" s="1"/>
  <c r="D97" i="1"/>
  <c r="O96" i="1"/>
  <c r="H96" i="1"/>
  <c r="D96" i="1"/>
  <c r="E96" i="1" s="1" a="1"/>
  <c r="E96" i="1" s="1"/>
  <c r="E97" i="1" s="1"/>
  <c r="G91" i="1"/>
  <c r="H91" i="1" s="1"/>
  <c r="D91" i="1"/>
  <c r="H90" i="1"/>
  <c r="D90" i="1"/>
  <c r="E90" i="1" s="1" a="1"/>
  <c r="E90" i="1" s="1"/>
  <c r="E91" i="1" s="1"/>
  <c r="G89" i="1"/>
  <c r="D89" i="1"/>
  <c r="H88" i="1"/>
  <c r="D88" i="1"/>
  <c r="E88" i="1" s="1" a="1"/>
  <c r="E88" i="1" s="1"/>
  <c r="E89" i="1" s="1"/>
  <c r="F89" i="1" s="1"/>
  <c r="H89" i="1" s="1"/>
  <c r="G87" i="1"/>
  <c r="D87" i="1"/>
  <c r="H86" i="1"/>
  <c r="D86" i="1"/>
  <c r="E86" i="1" s="1" a="1"/>
  <c r="E86" i="1" s="1"/>
  <c r="E87" i="1" s="1"/>
  <c r="F87" i="1" s="1"/>
  <c r="H87" i="1" s="1"/>
  <c r="G85" i="1"/>
  <c r="D85" i="1"/>
  <c r="H84" i="1"/>
  <c r="D84" i="1"/>
  <c r="E84" i="1" s="1" a="1"/>
  <c r="E84" i="1" s="1"/>
  <c r="E85" i="1" s="1"/>
  <c r="F85" i="1" s="1"/>
  <c r="H85" i="1" s="1"/>
  <c r="G83" i="1"/>
  <c r="D83" i="1"/>
  <c r="H82" i="1"/>
  <c r="D82" i="1"/>
  <c r="E82" i="1" s="1" a="1"/>
  <c r="E82" i="1" s="1"/>
  <c r="E83" i="1" s="1"/>
  <c r="F83" i="1" s="1"/>
  <c r="H83" i="1" s="1"/>
  <c r="G81" i="1"/>
  <c r="D81" i="1"/>
  <c r="H80" i="1"/>
  <c r="D80" i="1"/>
  <c r="E80" i="1" s="1" a="1"/>
  <c r="E80" i="1" s="1"/>
  <c r="E81" i="1" s="1"/>
  <c r="F81" i="1" s="1"/>
  <c r="H81" i="1" s="1"/>
  <c r="G79" i="1"/>
  <c r="D79" i="1"/>
  <c r="H78" i="1"/>
  <c r="D78" i="1"/>
  <c r="E78" i="1" s="1" a="1"/>
  <c r="E78" i="1" s="1"/>
  <c r="E79" i="1" s="1"/>
  <c r="F79" i="1" s="1"/>
  <c r="H79" i="1" s="1"/>
  <c r="G77" i="1"/>
  <c r="D77" i="1"/>
  <c r="O76" i="1"/>
  <c r="H76" i="1"/>
  <c r="D76" i="1"/>
  <c r="E76" i="1" s="1" a="1"/>
  <c r="E76" i="1" s="1"/>
  <c r="E77" i="1" s="1"/>
  <c r="F77" i="1" s="1"/>
  <c r="H77" i="1" s="1"/>
  <c r="G75" i="1"/>
  <c r="H75" i="1" s="1"/>
  <c r="D75" i="1"/>
  <c r="H74" i="1"/>
  <c r="E74" i="1" a="1"/>
  <c r="E74" i="1" s="1"/>
  <c r="E75" i="1" s="1"/>
  <c r="G73" i="1"/>
  <c r="H73" i="1" s="1"/>
  <c r="D73" i="1"/>
  <c r="H72" i="1"/>
  <c r="E72" i="1" a="1"/>
  <c r="E72" i="1" s="1"/>
  <c r="E73" i="1" s="1"/>
  <c r="G71" i="1"/>
  <c r="H71" i="1" s="1"/>
  <c r="D71" i="1"/>
  <c r="H70" i="1"/>
  <c r="E70" i="1" a="1"/>
  <c r="E70" i="1" s="1"/>
  <c r="E71" i="1" s="1"/>
  <c r="G69" i="1"/>
  <c r="H69" i="1" s="1"/>
  <c r="D69" i="1"/>
  <c r="H68" i="1"/>
  <c r="E68" i="1" a="1"/>
  <c r="E68" i="1" s="1"/>
  <c r="E69" i="1" s="1"/>
  <c r="G67" i="1"/>
  <c r="H67" i="1" s="1"/>
  <c r="D67" i="1"/>
  <c r="H66" i="1"/>
  <c r="E66" i="1" a="1"/>
  <c r="E66" i="1" s="1"/>
  <c r="E67" i="1" s="1"/>
  <c r="G65" i="1"/>
  <c r="H65" i="1" s="1"/>
  <c r="D65" i="1"/>
  <c r="O64" i="1"/>
  <c r="H64" i="1"/>
  <c r="E64" i="1" a="1"/>
  <c r="E64" i="1" s="1"/>
  <c r="E65" i="1" s="1"/>
  <c r="G195" i="1"/>
  <c r="H195" i="1" s="1"/>
  <c r="D195" i="1"/>
  <c r="H194" i="1"/>
  <c r="E194" i="1" a="1"/>
  <c r="E194" i="1" s="1"/>
  <c r="E195" i="1" s="1"/>
  <c r="G63" i="1"/>
  <c r="H63" i="1" s="1"/>
  <c r="D63" i="1"/>
  <c r="O62" i="1"/>
  <c r="H62" i="1"/>
  <c r="E62" i="1" a="1"/>
  <c r="E62" i="1" s="1"/>
  <c r="E63" i="1" s="1"/>
  <c r="G61" i="1"/>
  <c r="H61" i="1" s="1"/>
  <c r="D61" i="1"/>
  <c r="H60" i="1"/>
  <c r="E60" i="1" a="1"/>
  <c r="E60" i="1" s="1"/>
  <c r="E61" i="1" s="1"/>
  <c r="G59" i="1"/>
  <c r="D59" i="1"/>
  <c r="O58" i="1"/>
  <c r="H58" i="1"/>
  <c r="E58" i="1" a="1"/>
  <c r="E58" i="1" s="1"/>
  <c r="E59" i="1" s="1"/>
  <c r="F59" i="1" s="1"/>
  <c r="H59" i="1" s="1"/>
  <c r="G57" i="1"/>
  <c r="D57" i="1"/>
  <c r="H56" i="1"/>
  <c r="E56" i="1" a="1"/>
  <c r="E56" i="1" s="1"/>
  <c r="E57" i="1" s="1"/>
  <c r="F57" i="1" s="1"/>
  <c r="H57" i="1" s="1"/>
  <c r="G55" i="1"/>
  <c r="H55" i="1" s="1"/>
  <c r="D55" i="1"/>
  <c r="H54" i="1"/>
  <c r="E54" i="1" a="1"/>
  <c r="E54" i="1" s="1"/>
  <c r="E55" i="1" s="1"/>
  <c r="D53" i="1"/>
  <c r="G52" i="1"/>
  <c r="G53" i="1"/>
  <c r="H53" i="1" s="1"/>
  <c r="F52" i="1"/>
  <c r="E52" i="1" a="1"/>
  <c r="E52" i="1" s="1"/>
  <c r="E53" i="1" s="1"/>
  <c r="G51" i="1"/>
  <c r="H51" i="1" s="1"/>
  <c r="D51" i="1"/>
  <c r="H50" i="1"/>
  <c r="E50" i="1" a="1"/>
  <c r="E50" i="1" s="1"/>
  <c r="E51" i="1" s="1"/>
  <c r="G49" i="1"/>
  <c r="H49" i="1" s="1"/>
  <c r="D49" i="1"/>
  <c r="H48" i="1"/>
  <c r="E48" i="1" a="1"/>
  <c r="E48" i="1" s="1"/>
  <c r="E49" i="1" s="1"/>
  <c r="D47" i="1"/>
  <c r="G46" i="1"/>
  <c r="G47" i="1"/>
  <c r="F46" i="1"/>
  <c r="E46" i="1" a="1"/>
  <c r="E46" i="1" s="1"/>
  <c r="E47" i="1" s="1"/>
  <c r="F47" i="1" s="1"/>
  <c r="H47" i="1" s="1"/>
  <c r="G45" i="1"/>
  <c r="H45" i="1" s="1"/>
  <c r="H44" i="1"/>
  <c r="E44" i="1" a="1"/>
  <c r="E44" i="1" s="1"/>
  <c r="E45" i="1" s="1"/>
  <c r="G43" i="1"/>
  <c r="D43" i="1"/>
  <c r="O42" i="1"/>
  <c r="H42" i="1"/>
  <c r="E42" i="1" a="1"/>
  <c r="E42" i="1" s="1"/>
  <c r="E43" i="1" s="1"/>
  <c r="F43" i="1" s="1"/>
  <c r="H43" i="1" s="1"/>
  <c r="G41" i="1"/>
  <c r="H41" i="1" s="1"/>
  <c r="H40" i="1"/>
  <c r="E40" i="1" a="1"/>
  <c r="E40" i="1" s="1"/>
  <c r="E41" i="1" s="1"/>
  <c r="G39" i="1"/>
  <c r="H39" i="1" s="1"/>
  <c r="H38" i="1"/>
  <c r="E38" i="1" a="1"/>
  <c r="E38" i="1" s="1"/>
  <c r="E39" i="1" s="1"/>
  <c r="G37" i="1"/>
  <c r="D37" i="1"/>
  <c r="H36" i="1"/>
  <c r="D36" i="1"/>
  <c r="E36" i="1" s="1" a="1"/>
  <c r="E36" i="1" s="1"/>
  <c r="E37" i="1" s="1"/>
  <c r="F37" i="1" s="1"/>
  <c r="H37" i="1" s="1"/>
  <c r="G35" i="1"/>
  <c r="H35" i="1" s="1"/>
  <c r="H34" i="1"/>
  <c r="E34" i="1" a="1"/>
  <c r="E34" i="1" s="1"/>
  <c r="E35" i="1" s="1"/>
  <c r="G33" i="1"/>
  <c r="H33" i="1" s="1"/>
  <c r="H32" i="1"/>
  <c r="E32" i="1" a="1"/>
  <c r="E32" i="1" s="1"/>
  <c r="E33" i="1" s="1"/>
  <c r="G31" i="1"/>
  <c r="H31" i="1" s="1"/>
  <c r="H30" i="1"/>
  <c r="E30" i="1" a="1"/>
  <c r="E30" i="1" s="1"/>
  <c r="E31" i="1" s="1"/>
  <c r="G29" i="1"/>
  <c r="H28" i="1"/>
  <c r="E28" i="1" a="1"/>
  <c r="E28" i="1" s="1"/>
  <c r="E29" i="1" s="1"/>
  <c r="F29" i="1" s="1"/>
  <c r="H29" i="1" s="1"/>
  <c r="G27" i="1"/>
  <c r="H27" i="1" s="1"/>
  <c r="D27" i="1"/>
  <c r="H26" i="1"/>
  <c r="D26" i="1"/>
  <c r="E26" i="1" s="1" a="1"/>
  <c r="E26" i="1" s="1"/>
  <c r="E27" i="1" s="1"/>
  <c r="G25" i="1"/>
  <c r="D25" i="1"/>
  <c r="H24" i="1"/>
  <c r="D24" i="1"/>
  <c r="E24" i="1" s="1" a="1"/>
  <c r="E24" i="1" s="1"/>
  <c r="E25" i="1" s="1"/>
  <c r="F25" i="1" s="1"/>
  <c r="H25" i="1" s="1"/>
  <c r="G23" i="1"/>
  <c r="H23" i="1" s="1"/>
  <c r="D23" i="1"/>
  <c r="H22" i="1"/>
  <c r="D22" i="1"/>
  <c r="E22" i="1" s="1" a="1"/>
  <c r="E22" i="1" s="1"/>
  <c r="E23" i="1" s="1"/>
  <c r="G21" i="1"/>
  <c r="H21" i="1" s="1"/>
  <c r="D21" i="1"/>
  <c r="H20" i="1"/>
  <c r="D20" i="1"/>
  <c r="E20" i="1" s="1" a="1"/>
  <c r="E20" i="1" s="1"/>
  <c r="E21" i="1" s="1"/>
  <c r="G19" i="1"/>
  <c r="H19" i="1" s="1"/>
  <c r="D19" i="1"/>
  <c r="H18" i="1"/>
  <c r="D18" i="1"/>
  <c r="E18" i="1" s="1" a="1"/>
  <c r="E18" i="1" s="1"/>
  <c r="E19" i="1" s="1"/>
  <c r="G17" i="1"/>
  <c r="D17" i="1"/>
  <c r="O16" i="1"/>
  <c r="H16" i="1"/>
  <c r="E16" i="1" a="1"/>
  <c r="E16" i="1" s="1"/>
  <c r="E17" i="1" s="1"/>
  <c r="F17" i="1" s="1"/>
  <c r="H17" i="1" s="1"/>
  <c r="G15" i="1"/>
  <c r="D15" i="1"/>
  <c r="F14" i="1"/>
  <c r="H14" i="1"/>
  <c r="E14" i="1" a="1"/>
  <c r="E14" i="1" s="1"/>
  <c r="E15" i="1" s="1"/>
  <c r="F15" i="1" s="1"/>
  <c r="H15" i="1" s="1"/>
  <c r="G13" i="1"/>
  <c r="H13" i="1"/>
  <c r="D13" i="1"/>
  <c r="H12" i="1"/>
  <c r="D12" i="1"/>
  <c r="E12" i="1" s="1" a="1"/>
  <c r="E12" i="1" s="1"/>
  <c r="E13" i="1" s="1"/>
  <c r="G11" i="1"/>
  <c r="D11" i="1"/>
  <c r="O10" i="1"/>
  <c r="H10" i="1"/>
  <c r="D10" i="1"/>
  <c r="E10" i="1" s="1" a="1"/>
  <c r="E10" i="1" s="1"/>
  <c r="E11" i="1" s="1"/>
  <c r="F11" i="1" s="1"/>
  <c r="H11" i="1" s="1"/>
  <c r="G9" i="1"/>
  <c r="D9" i="1"/>
  <c r="O8" i="1"/>
  <c r="H8" i="1"/>
  <c r="D8" i="1"/>
  <c r="E8" i="1" s="1" a="1"/>
  <c r="E8" i="1" s="1"/>
  <c r="E9" i="1" s="1"/>
  <c r="F9" i="1" s="1"/>
  <c r="H9" i="1" s="1"/>
  <c r="G7" i="1"/>
  <c r="D7" i="1"/>
  <c r="H6" i="1"/>
  <c r="D6" i="1"/>
  <c r="E6" i="1" s="1" a="1"/>
  <c r="E6" i="1" s="1"/>
  <c r="E7" i="1" s="1"/>
  <c r="F7" i="1" s="1"/>
  <c r="H7" i="1" s="1"/>
  <c r="E181" i="1"/>
  <c r="O17" i="1"/>
  <c r="O43" i="1"/>
  <c r="H431" i="1"/>
  <c r="H451" i="1"/>
  <c r="H449" i="1"/>
  <c r="H439" i="1"/>
  <c r="H461" i="1"/>
  <c r="H52" i="1"/>
  <c r="F327" i="1"/>
  <c r="H46" i="1"/>
  <c r="H155" i="1" l="1"/>
  <c r="H533" i="1"/>
  <c r="J603" i="1"/>
  <c r="K603" i="1"/>
  <c r="J601" i="1"/>
  <c r="K601" i="1"/>
  <c r="J599" i="1"/>
  <c r="K599" i="1"/>
  <c r="H341" i="1"/>
  <c r="K445" i="1"/>
  <c r="J445" i="1"/>
  <c r="H529" i="1"/>
  <c r="H209" i="1"/>
  <c r="K597" i="1"/>
  <c r="J597" i="1"/>
  <c r="J595" i="1"/>
  <c r="K595" i="1"/>
  <c r="K333" i="1"/>
  <c r="J333" i="1"/>
  <c r="J593" i="1"/>
  <c r="K593" i="1"/>
  <c r="J591" i="1"/>
  <c r="K591" i="1"/>
  <c r="H165" i="1"/>
  <c r="K523" i="1"/>
  <c r="J523" i="1"/>
  <c r="K517" i="1"/>
  <c r="J517" i="1"/>
  <c r="K515" i="1"/>
  <c r="J515" i="1"/>
  <c r="J513" i="1"/>
  <c r="K513" i="1"/>
  <c r="J509" i="1"/>
  <c r="K509" i="1"/>
  <c r="K499" i="1"/>
  <c r="J499" i="1"/>
  <c r="J497" i="1"/>
  <c r="K497" i="1"/>
  <c r="J589" i="1"/>
  <c r="K589" i="1"/>
  <c r="H327" i="1"/>
  <c r="J329" i="1"/>
  <c r="K329" i="1"/>
  <c r="J323" i="1"/>
  <c r="K323" i="1"/>
  <c r="J303" i="1"/>
  <c r="K303" i="1"/>
  <c r="K583" i="1"/>
  <c r="J583" i="1"/>
  <c r="J573" i="1"/>
  <c r="K573" i="1"/>
  <c r="J321" i="1"/>
  <c r="K321" i="1"/>
  <c r="K319" i="1"/>
  <c r="J319" i="1"/>
  <c r="J309" i="1"/>
  <c r="K309" i="1"/>
  <c r="K317" i="1"/>
  <c r="J317" i="1"/>
  <c r="K315" i="1"/>
  <c r="J315" i="1"/>
  <c r="J305" i="1"/>
  <c r="K305" i="1"/>
  <c r="K299" i="1"/>
  <c r="J299" i="1"/>
  <c r="K301" i="1"/>
  <c r="J301" i="1"/>
  <c r="J547" i="1"/>
  <c r="K547" i="1"/>
  <c r="K327" i="1"/>
  <c r="J327" i="1"/>
  <c r="H571" i="1"/>
  <c r="H541" i="1"/>
  <c r="H247" i="1"/>
  <c r="H421" i="1"/>
  <c r="K491" i="1"/>
  <c r="J491" i="1"/>
  <c r="K479" i="1"/>
  <c r="J479" i="1"/>
  <c r="J475" i="1"/>
  <c r="K475" i="1"/>
  <c r="K473" i="1"/>
  <c r="J473" i="1"/>
  <c r="K469" i="1"/>
  <c r="J469" i="1"/>
  <c r="J463" i="1"/>
  <c r="K463" i="1"/>
  <c r="K459" i="1"/>
  <c r="J459" i="1"/>
  <c r="J457" i="1"/>
  <c r="K457" i="1"/>
  <c r="K455" i="1"/>
  <c r="J455" i="1"/>
  <c r="K453" i="1"/>
  <c r="J453" i="1"/>
  <c r="K447" i="1"/>
  <c r="J447" i="1"/>
  <c r="J437" i="1"/>
  <c r="K437" i="1"/>
  <c r="K435" i="1"/>
  <c r="J435" i="1"/>
  <c r="J433" i="1"/>
  <c r="K433" i="1"/>
  <c r="J427" i="1"/>
  <c r="K427" i="1"/>
  <c r="J425" i="1"/>
  <c r="K425" i="1"/>
  <c r="J423" i="1"/>
  <c r="K423" i="1"/>
  <c r="K415" i="1"/>
  <c r="J415" i="1"/>
  <c r="J409" i="1"/>
  <c r="K409" i="1"/>
  <c r="J407" i="1"/>
  <c r="K407" i="1"/>
  <c r="J405" i="1"/>
  <c r="K405" i="1"/>
  <c r="J403" i="1"/>
  <c r="K403" i="1"/>
  <c r="K401" i="1"/>
  <c r="J401" i="1"/>
  <c r="K399" i="1"/>
  <c r="J399" i="1"/>
  <c r="K397" i="1"/>
  <c r="J397" i="1"/>
  <c r="K395" i="1"/>
  <c r="J395" i="1"/>
  <c r="J393" i="1"/>
  <c r="K393" i="1"/>
  <c r="K391" i="1"/>
  <c r="J391" i="1"/>
  <c r="J389" i="1"/>
  <c r="K389" i="1"/>
  <c r="J385" i="1"/>
  <c r="K385" i="1"/>
  <c r="J383" i="1"/>
  <c r="K383" i="1"/>
  <c r="J381" i="1"/>
  <c r="K381" i="1"/>
  <c r="J379" i="1"/>
  <c r="K379" i="1"/>
  <c r="J375" i="1"/>
  <c r="K375" i="1"/>
  <c r="J373" i="1"/>
  <c r="K373" i="1"/>
  <c r="K371" i="1"/>
  <c r="J371" i="1"/>
  <c r="J369" i="1"/>
  <c r="K369" i="1"/>
  <c r="J367" i="1"/>
  <c r="K367" i="1"/>
  <c r="J365" i="1"/>
  <c r="K365" i="1"/>
  <c r="K231" i="1"/>
  <c r="J231" i="1"/>
  <c r="J363" i="1"/>
  <c r="K363" i="1"/>
  <c r="K361" i="1"/>
  <c r="J361" i="1"/>
  <c r="K359" i="1"/>
  <c r="J359" i="1"/>
  <c r="J357" i="1"/>
  <c r="K357" i="1"/>
  <c r="K355" i="1"/>
  <c r="J355" i="1"/>
  <c r="K351" i="1"/>
  <c r="J351" i="1"/>
  <c r="K347" i="1"/>
  <c r="J347" i="1"/>
  <c r="J147" i="1"/>
  <c r="K147" i="1"/>
  <c r="J345" i="1"/>
  <c r="K345" i="1"/>
  <c r="J343" i="1"/>
  <c r="K343" i="1"/>
  <c r="J131" i="1"/>
  <c r="K131" i="1"/>
  <c r="J331" i="1"/>
  <c r="K331" i="1"/>
  <c r="J339" i="1"/>
  <c r="K339" i="1"/>
  <c r="K337" i="1"/>
  <c r="J337" i="1"/>
  <c r="J335" i="1"/>
  <c r="K335" i="1"/>
  <c r="K313" i="1"/>
  <c r="J313" i="1"/>
  <c r="J151" i="1"/>
  <c r="K151" i="1"/>
  <c r="K311" i="1"/>
  <c r="J311" i="1"/>
  <c r="J307" i="1"/>
  <c r="K307" i="1"/>
  <c r="K297" i="1"/>
  <c r="J297" i="1"/>
  <c r="J295" i="1"/>
  <c r="K295" i="1"/>
  <c r="J293" i="1"/>
  <c r="K293" i="1"/>
  <c r="K291" i="1"/>
  <c r="J291" i="1"/>
  <c r="K289" i="1"/>
  <c r="J289" i="1"/>
  <c r="K287" i="1"/>
  <c r="J287" i="1"/>
  <c r="J285" i="1"/>
  <c r="K285" i="1"/>
  <c r="J283" i="1"/>
  <c r="K283" i="1"/>
  <c r="K281" i="1"/>
  <c r="J281" i="1"/>
  <c r="K279" i="1"/>
  <c r="J279" i="1"/>
  <c r="K277" i="1"/>
  <c r="J277" i="1"/>
  <c r="K275" i="1"/>
  <c r="J275" i="1"/>
  <c r="J273" i="1"/>
  <c r="K273" i="1"/>
  <c r="K271" i="1"/>
  <c r="J271" i="1"/>
  <c r="K269" i="1"/>
  <c r="J269" i="1"/>
  <c r="J169" i="1"/>
  <c r="K169" i="1"/>
  <c r="J267" i="1"/>
  <c r="K267" i="1"/>
  <c r="K265" i="1"/>
  <c r="J265" i="1"/>
  <c r="K263" i="1"/>
  <c r="J263" i="1"/>
  <c r="K261" i="1"/>
  <c r="J261" i="1"/>
  <c r="J239" i="1"/>
  <c r="K239" i="1"/>
  <c r="J259" i="1"/>
  <c r="K259" i="1"/>
  <c r="J257" i="1"/>
  <c r="K257" i="1"/>
  <c r="J255" i="1"/>
  <c r="K255" i="1"/>
  <c r="J237" i="1"/>
  <c r="K237" i="1"/>
  <c r="J235" i="1"/>
  <c r="K235" i="1"/>
  <c r="K187" i="1"/>
  <c r="J187" i="1"/>
  <c r="K185" i="1"/>
  <c r="J185" i="1"/>
  <c r="J211" i="1"/>
  <c r="K211" i="1"/>
  <c r="K229" i="1"/>
  <c r="J229" i="1"/>
  <c r="J225" i="1"/>
  <c r="K225" i="1"/>
  <c r="J167" i="1"/>
  <c r="K167" i="1"/>
  <c r="K223" i="1"/>
  <c r="J223" i="1"/>
  <c r="K221" i="1"/>
  <c r="J221" i="1"/>
  <c r="J219" i="1"/>
  <c r="K219" i="1"/>
  <c r="K217" i="1"/>
  <c r="J217" i="1"/>
  <c r="J193" i="1"/>
  <c r="K193" i="1"/>
  <c r="J227" i="1"/>
  <c r="K227" i="1"/>
  <c r="K215" i="1"/>
  <c r="J215" i="1"/>
  <c r="J249" i="1"/>
  <c r="K249" i="1"/>
  <c r="J243" i="1"/>
  <c r="K243" i="1"/>
  <c r="J201" i="1"/>
  <c r="K201" i="1"/>
  <c r="J205" i="1"/>
  <c r="K205" i="1"/>
  <c r="J203" i="1"/>
  <c r="K203" i="1"/>
  <c r="K199" i="1"/>
  <c r="J199" i="1"/>
  <c r="K197" i="1"/>
  <c r="J197" i="1"/>
  <c r="J183" i="1"/>
  <c r="K183" i="1"/>
  <c r="J179" i="1"/>
  <c r="K179" i="1"/>
  <c r="K181" i="1"/>
  <c r="J181" i="1"/>
  <c r="K177" i="1"/>
  <c r="J177" i="1"/>
  <c r="K163" i="1"/>
  <c r="J163" i="1"/>
  <c r="J173" i="1"/>
  <c r="K173" i="1"/>
  <c r="K153" i="1"/>
  <c r="J153" i="1"/>
  <c r="J149" i="1"/>
  <c r="K149" i="1"/>
  <c r="K143" i="1"/>
  <c r="J143" i="1"/>
  <c r="K141" i="1"/>
  <c r="J141" i="1"/>
  <c r="K139" i="1"/>
  <c r="J139" i="1"/>
  <c r="J137" i="1"/>
  <c r="K137" i="1"/>
  <c r="K135" i="1"/>
  <c r="J135" i="1"/>
  <c r="K133" i="1"/>
  <c r="J133" i="1"/>
  <c r="K121" i="1"/>
  <c r="J121" i="1"/>
  <c r="K119" i="1"/>
  <c r="J119" i="1"/>
  <c r="O119" i="1" s="1"/>
  <c r="J117" i="1"/>
  <c r="K117" i="1"/>
  <c r="K101" i="1"/>
  <c r="J101" i="1"/>
  <c r="J95" i="1"/>
  <c r="K95" i="1"/>
  <c r="K99" i="1"/>
  <c r="J99" i="1"/>
  <c r="K93" i="1"/>
  <c r="J93" i="1"/>
  <c r="J97" i="1"/>
  <c r="O97" i="1" s="1"/>
  <c r="K97" i="1"/>
  <c r="J91" i="1"/>
  <c r="K91" i="1"/>
  <c r="J75" i="1"/>
  <c r="K75" i="1"/>
  <c r="J73" i="1"/>
  <c r="K73" i="1"/>
  <c r="K71" i="1"/>
  <c r="J71" i="1"/>
  <c r="J69" i="1"/>
  <c r="K69" i="1"/>
  <c r="J67" i="1"/>
  <c r="K67" i="1"/>
  <c r="J65" i="1"/>
  <c r="O65" i="1" s="1"/>
  <c r="K65" i="1"/>
  <c r="J195" i="1"/>
  <c r="K195" i="1"/>
  <c r="J63" i="1"/>
  <c r="O63" i="1" s="1"/>
  <c r="K63" i="1"/>
  <c r="J61" i="1"/>
  <c r="K61" i="1"/>
  <c r="J55" i="1"/>
  <c r="K55" i="1"/>
  <c r="K53" i="1"/>
  <c r="J53" i="1"/>
  <c r="J51" i="1"/>
  <c r="K51" i="1"/>
  <c r="K49" i="1"/>
  <c r="J49" i="1"/>
  <c r="K45" i="1"/>
  <c r="J45" i="1"/>
  <c r="K41" i="1"/>
  <c r="J41" i="1"/>
  <c r="J39" i="1"/>
  <c r="K39" i="1"/>
  <c r="J35" i="1"/>
  <c r="K35" i="1"/>
  <c r="K33" i="1"/>
  <c r="J33" i="1"/>
  <c r="J31" i="1"/>
  <c r="K31" i="1"/>
  <c r="K27" i="1"/>
  <c r="J27" i="1"/>
  <c r="K23" i="1"/>
  <c r="J23" i="1"/>
  <c r="J21" i="1"/>
  <c r="K21" i="1"/>
  <c r="J19" i="1"/>
  <c r="K19" i="1"/>
  <c r="K13" i="1"/>
  <c r="J13" i="1"/>
  <c r="J431" i="1"/>
  <c r="K431" i="1"/>
  <c r="J451" i="1"/>
  <c r="K451" i="1"/>
  <c r="K449" i="1"/>
  <c r="J449" i="1"/>
  <c r="K567" i="1"/>
  <c r="J567" i="1"/>
  <c r="J439" i="1"/>
  <c r="K439" i="1"/>
  <c r="K543" i="1"/>
  <c r="J543" i="1"/>
  <c r="J471" i="1"/>
  <c r="K471" i="1"/>
  <c r="K465" i="1"/>
  <c r="J465" i="1"/>
  <c r="K467" i="1"/>
  <c r="J467" i="1"/>
  <c r="J503" i="1"/>
  <c r="K503" i="1"/>
  <c r="K505" i="1"/>
  <c r="J505" i="1"/>
  <c r="K461" i="1"/>
  <c r="J461" i="1"/>
  <c r="J485" i="1"/>
  <c r="K485" i="1"/>
  <c r="K483" i="1"/>
  <c r="J483" i="1"/>
  <c r="J579" i="1"/>
  <c r="K579" i="1"/>
  <c r="K145" i="1"/>
  <c r="J145" i="1"/>
  <c r="K251" i="1"/>
  <c r="J251" i="1"/>
  <c r="K3" i="1"/>
  <c r="J3" i="1"/>
  <c r="J161" i="1"/>
  <c r="K161" i="1"/>
  <c r="K191" i="1"/>
  <c r="J191" i="1"/>
  <c r="K213" i="1"/>
  <c r="J213" i="1"/>
  <c r="J59" i="1"/>
  <c r="O59" i="1" s="1"/>
  <c r="K59" i="1"/>
  <c r="J7" i="1"/>
  <c r="K7" i="1"/>
  <c r="K587" i="1"/>
  <c r="J587" i="1"/>
  <c r="K489" i="1"/>
  <c r="J489" i="1"/>
  <c r="K585" i="1"/>
  <c r="J585" i="1"/>
  <c r="J581" i="1"/>
  <c r="K581" i="1"/>
  <c r="J577" i="1"/>
  <c r="K577" i="1"/>
  <c r="K575" i="1"/>
  <c r="J575" i="1"/>
  <c r="K569" i="1"/>
  <c r="J569" i="1"/>
  <c r="K565" i="1"/>
  <c r="J565" i="1"/>
  <c r="J563" i="1"/>
  <c r="K563" i="1"/>
  <c r="J561" i="1"/>
  <c r="K561" i="1"/>
  <c r="K559" i="1"/>
  <c r="J559" i="1"/>
  <c r="K557" i="1"/>
  <c r="J557" i="1"/>
  <c r="J555" i="1"/>
  <c r="K555" i="1"/>
  <c r="K553" i="1"/>
  <c r="J553" i="1"/>
  <c r="K551" i="1"/>
  <c r="J551" i="1"/>
  <c r="K549" i="1"/>
  <c r="J549" i="1"/>
  <c r="J545" i="1"/>
  <c r="K545" i="1"/>
  <c r="J539" i="1"/>
  <c r="K539" i="1"/>
  <c r="J537" i="1"/>
  <c r="K537" i="1"/>
  <c r="K535" i="1"/>
  <c r="J535" i="1"/>
  <c r="J531" i="1"/>
  <c r="K531" i="1"/>
  <c r="K527" i="1"/>
  <c r="J527" i="1"/>
  <c r="J525" i="1"/>
  <c r="K525" i="1"/>
  <c r="J521" i="1"/>
  <c r="K521" i="1"/>
  <c r="J519" i="1"/>
  <c r="K519" i="1"/>
  <c r="K511" i="1"/>
  <c r="J511" i="1"/>
  <c r="K507" i="1"/>
  <c r="J507" i="1"/>
  <c r="K501" i="1"/>
  <c r="J501" i="1"/>
  <c r="K495" i="1"/>
  <c r="J495" i="1"/>
  <c r="K493" i="1"/>
  <c r="J493" i="1"/>
  <c r="K487" i="1"/>
  <c r="J487" i="1"/>
  <c r="K377" i="1"/>
  <c r="J377" i="1"/>
  <c r="J443" i="1"/>
  <c r="K443" i="1"/>
  <c r="J441" i="1"/>
  <c r="K441" i="1"/>
  <c r="K429" i="1"/>
  <c r="J429" i="1"/>
  <c r="J325" i="1"/>
  <c r="K325" i="1"/>
  <c r="K253" i="1"/>
  <c r="J253" i="1"/>
  <c r="K5" i="1"/>
  <c r="J5" i="1"/>
  <c r="K241" i="1"/>
  <c r="J241" i="1"/>
  <c r="J207" i="1"/>
  <c r="K207" i="1"/>
  <c r="K189" i="1"/>
  <c r="J189" i="1"/>
  <c r="K175" i="1"/>
  <c r="J175" i="1"/>
  <c r="K171" i="1"/>
  <c r="J171" i="1"/>
  <c r="J159" i="1"/>
  <c r="K159" i="1"/>
  <c r="J157" i="1"/>
  <c r="K157" i="1"/>
  <c r="K155" i="1"/>
  <c r="J155" i="1"/>
  <c r="J129" i="1"/>
  <c r="K129" i="1"/>
  <c r="J127" i="1"/>
  <c r="K127" i="1"/>
  <c r="K125" i="1"/>
  <c r="J125" i="1"/>
  <c r="J123" i="1"/>
  <c r="K123" i="1"/>
  <c r="K115" i="1"/>
  <c r="J115" i="1"/>
  <c r="J113" i="1"/>
  <c r="K113" i="1"/>
  <c r="J111" i="1"/>
  <c r="K111" i="1"/>
  <c r="K109" i="1"/>
  <c r="J109" i="1"/>
  <c r="J107" i="1"/>
  <c r="O107" i="1" s="1"/>
  <c r="K107" i="1"/>
  <c r="J105" i="1"/>
  <c r="O105" i="1" s="1"/>
  <c r="K105" i="1"/>
  <c r="J103" i="1"/>
  <c r="K103" i="1"/>
  <c r="J89" i="1"/>
  <c r="K89" i="1"/>
  <c r="J87" i="1"/>
  <c r="K87" i="1"/>
  <c r="J85" i="1"/>
  <c r="K85" i="1"/>
  <c r="K83" i="1"/>
  <c r="J83" i="1"/>
  <c r="K81" i="1"/>
  <c r="J81" i="1"/>
  <c r="K79" i="1"/>
  <c r="J79" i="1"/>
  <c r="J77" i="1"/>
  <c r="O77" i="1" s="1"/>
  <c r="K77" i="1"/>
  <c r="J57" i="1"/>
  <c r="K57" i="1"/>
  <c r="J47" i="1"/>
  <c r="K47" i="1"/>
  <c r="K43" i="1"/>
  <c r="J43" i="1"/>
  <c r="K37" i="1"/>
  <c r="J37" i="1"/>
  <c r="J29" i="1"/>
  <c r="K29" i="1"/>
  <c r="K25" i="1"/>
  <c r="J25" i="1"/>
  <c r="K17" i="1"/>
  <c r="J17" i="1"/>
  <c r="K15" i="1"/>
  <c r="J15" i="1"/>
  <c r="K11" i="1"/>
  <c r="J11" i="1"/>
  <c r="O11" i="1" s="1"/>
  <c r="K9" i="1"/>
  <c r="J9" i="1"/>
  <c r="O9" i="1" s="1"/>
  <c r="K481" i="1"/>
  <c r="J481" i="1"/>
  <c r="J477" i="1"/>
  <c r="K477" i="1"/>
  <c r="K411" i="1"/>
  <c r="J411" i="1"/>
  <c r="J419" i="1"/>
  <c r="K419" i="1"/>
  <c r="K417" i="1"/>
  <c r="J417" i="1"/>
  <c r="K413" i="1"/>
  <c r="J413" i="1"/>
  <c r="K349" i="1"/>
  <c r="J349" i="1"/>
  <c r="K387" i="1"/>
  <c r="J387" i="1"/>
  <c r="K233" i="1"/>
  <c r="J233" i="1"/>
  <c r="K353" i="1"/>
  <c r="J353" i="1"/>
  <c r="J245" i="1"/>
  <c r="K245" i="1"/>
  <c r="J533" i="1" l="1"/>
  <c r="K533" i="1"/>
  <c r="J341" i="1"/>
  <c r="K341" i="1"/>
  <c r="J529" i="1"/>
  <c r="K529" i="1"/>
  <c r="J209" i="1"/>
  <c r="K209" i="1"/>
  <c r="J165" i="1"/>
  <c r="K165" i="1"/>
  <c r="J571" i="1"/>
  <c r="K571" i="1"/>
  <c r="K541" i="1"/>
  <c r="J541" i="1"/>
  <c r="J247" i="1"/>
  <c r="K247" i="1"/>
  <c r="J421" i="1"/>
  <c r="K4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tc={60E60EDA-63A0-4BA6-B6DB-F8260983618D}</author>
    <author>tc={1671CC4F-7580-473F-ABF7-6A41240CE6E7}</author>
    <author>tc={8A3F0E30-7BBF-4121-9108-1379A70075F8}</author>
    <author>tc={2786F4D6-4A15-4FC9-A124-D0A4A8A2FC70}</author>
    <author>tc={5E19A059-6BB5-4E28-9BA8-DCD64A2E569B}</author>
    <author>tc={836DCD3B-C246-47CA-9DF2-6F84CB1DD620}</author>
    <author>tc={55A0FFE8-F5FD-44B3-A66E-5D999D9B2406}</author>
    <author>tc={FEC55A3E-78BF-4760-8F51-2A6A7ADA1FA8}</author>
    <author>tc={F024E73B-FC58-40C5-B5EC-ACD7CC069C82}</author>
    <author>tc={0E8884E8-E2B3-45CE-AD0D-E6951E15D6A4}</author>
    <author>tc={4E27FAA6-BEFB-4058-B2A5-8F3201277257}</author>
    <author>tc={9EE74A5F-0210-4966-83B2-669781E21FE3}</author>
    <author>tc={35FA5BB8-6912-440E-99C0-A83E6CFCFAD8}</author>
    <author>tc={F4587E4F-C49C-4459-9028-3BCDB8D69C55}</author>
    <author>tc={53ED3386-4F1F-491B-A868-3DC945D2AD62}</author>
    <author>tc={E1D27E64-51E8-4BC0-8DD7-87896FF91A6C}</author>
    <author>tc={724E92CD-F6A0-47C4-9DCC-6780DCE7F60D}</author>
    <author>tc={C7BC4B73-3D5A-42FE-B775-A2734335943D}</author>
    <author>tc={EF53A672-E0A6-4A70-8463-5CB221A6BC36}</author>
    <author>tc={7151832A-7273-4237-AFFE-01B4630CE571}</author>
    <author>tc={39805939-6D63-4F31-95F7-8922DC3066EB}</author>
    <author>tc={E896B86D-C72A-4BA9-8668-BB444C344D43}</author>
    <author>tc={5EEADFA2-3A2E-470A-BE4E-052B6F851CF4}</author>
  </authors>
  <commentList>
    <comment ref="C28" authorId="0" shapeId="0" xr:uid="{60E60EDA-63A0-4BA6-B6DB-F8260983618D}">
      <text>
        <t xml:space="preserve">[Threaded comment]
Your version of Excel allows you to read this threaded comment; however, any edits to it will get removed if the file is opened in a newer version of Excel. Learn more: https://go.microsoft.com/fwlink/?linkid=870924
Comment:
    This doesn’t show anywhere
</t>
      </text>
    </comment>
    <comment ref="B46" authorId="1" shapeId="0" xr:uid="{1671CC4F-7580-473F-ABF7-6A41240CE6E7}">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50" authorId="2" shapeId="0" xr:uid="{8A3F0E30-7BBF-4121-9108-1379A70075F8}">
      <text>
        <t>[Threaded comment]
Your version of Excel allows you to read this threaded comment; however, any edits to it will get removed if the file is opened in a newer version of Excel. Learn more: https://go.microsoft.com/fwlink/?linkid=870924
Comment:
    Transferred from "US TFSA Options" to US SDRSP Easy Trade.</t>
      </text>
    </comment>
    <comment ref="C51" authorId="3" shapeId="0" xr:uid="{2786F4D6-4A15-4FC9-A124-D0A4A8A2FC70}">
      <text>
        <t>[Threaded comment]
Your version of Excel allows you to read this threaded comment; however, any edits to it will get removed if the file is opened in a newer version of Excel. Learn more: https://go.microsoft.com/fwlink/?linkid=870924
Comment:
    Transferred from "US TFSA Options" to US SDRSP Easy Trade.</t>
      </text>
    </comment>
    <comment ref="B52" authorId="4" shapeId="0" xr:uid="{5E19A059-6BB5-4E28-9BA8-DCD64A2E569B}">
      <text>
        <t>[Threaded comment]
Your version of Excel allows you to read this threaded comment; however, any edits to it will get removed if the file is opened in a newer version of Excel. Learn more: https://go.microsoft.com/fwlink/?linkid=870924
Comment:
    Transferred from "US TFSA Options" to US SDRSP Easy Trade.</t>
      </text>
    </comment>
    <comment ref="B56" authorId="5" shapeId="0" xr:uid="{836DCD3B-C246-47CA-9DF2-6F84CB1DD620}">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C123" authorId="6" shapeId="0" xr:uid="{55A0FFE8-F5FD-44B3-A66E-5D999D9B2406}">
      <text>
        <t>[Threaded comment]
Your version of Excel allows you to read this threaded comment; however, any edits to it will get removed if the file is opened in a newer version of Excel. Learn more: https://go.microsoft.com/fwlink/?linkid=870924
Comment:
    Renamed as "TORO"</t>
      </text>
    </comment>
    <comment ref="C125" authorId="7" shapeId="0" xr:uid="{FEC55A3E-78BF-4760-8F51-2A6A7ADA1FA8}">
      <text>
        <t>[Threaded comment]
Your version of Excel allows you to read this threaded comment; however, any edits to it will get removed if the file is opened in a newer version of Excel. Learn more: https://go.microsoft.com/fwlink/?linkid=870924
Comment:
    Renamed as "TORO"</t>
      </text>
    </comment>
    <comment ref="C127" authorId="8" shapeId="0" xr:uid="{F024E73B-FC58-40C5-B5EC-ACD7CC069C82}">
      <text>
        <t>[Threaded comment]
Your version of Excel allows you to read this threaded comment; however, any edits to it will get removed if the file is opened in a newer version of Excel. Learn more: https://go.microsoft.com/fwlink/?linkid=870924
Comment:
    Renamed as "TORO"</t>
      </text>
    </comment>
    <comment ref="C129" authorId="9" shapeId="0" xr:uid="{0E8884E8-E2B3-45CE-AD0D-E6951E15D6A4}">
      <text>
        <t>[Threaded comment]
Your version of Excel allows you to read this threaded comment; however, any edits to it will get removed if the file is opened in a newer version of Excel. Learn more: https://go.microsoft.com/fwlink/?linkid=870924
Comment:
    Renamed as "TORO"</t>
      </text>
    </comment>
    <comment ref="C131" authorId="10" shapeId="0" xr:uid="{4E27FAA6-BEFB-4058-B2A5-8F3201277257}">
      <text>
        <t>[Threaded comment]
Your version of Excel allows you to read this threaded comment; however, any edits to it will get removed if the file is opened in a newer version of Excel. Learn more: https://go.microsoft.com/fwlink/?linkid=870924
Comment:
    Renamed as "TORO"</t>
      </text>
    </comment>
    <comment ref="B172" authorId="11" shapeId="0" xr:uid="{9EE74A5F-0210-4966-83B2-669781E21FE3}">
      <text>
        <t>[Threaded comment]
Your version of Excel allows you to read this threaded comment; however, any edits to it will get removed if the file is opened in a newer version of Excel. Learn more: https://go.microsoft.com/fwlink/?linkid=870924
Comment:
    It was initially on US TFSA Options and moved to US SDRSP because of overcontribution. July 26, 2022</t>
      </text>
    </comment>
    <comment ref="B176" authorId="12" shapeId="0" xr:uid="{35FA5BB8-6912-440E-99C0-A83E6CFCFAD8}">
      <text>
        <t>[Threaded comment]
Your version of Excel allows you to read this threaded comment; however, any edits to it will get removed if the file is opened in a newer version of Excel. Learn more: https://go.microsoft.com/fwlink/?linkid=870924
Comment:
    For Dividends</t>
      </text>
    </comment>
    <comment ref="B178" authorId="13" shapeId="0" xr:uid="{F4587E4F-C49C-4459-9028-3BCDB8D69C55}">
      <text>
        <t>[Threaded comment]
Your version of Excel allows you to read this threaded comment; however, any edits to it will get removed if the file is opened in a newer version of Excel. Learn more: https://go.microsoft.com/fwlink/?linkid=870924
Comment:
    For Dividends</t>
      </text>
    </comment>
    <comment ref="B180" authorId="14" shapeId="0" xr:uid="{53ED3386-4F1F-491B-A868-3DC945D2AD62}">
      <text>
        <t>[Threaded comment]
Your version of Excel allows you to read this threaded comment; however, any edits to it will get removed if the file is opened in a newer version of Excel. Learn more: https://go.microsoft.com/fwlink/?linkid=870924
Comment:
    For Dividends</t>
      </text>
    </comment>
    <comment ref="B182" authorId="15" shapeId="0" xr:uid="{E1D27E64-51E8-4BC0-8DD7-87896FF91A6C}">
      <text>
        <t>[Threaded comment]
Your version of Excel allows you to read this threaded comment; however, any edits to it will get removed if the file is opened in a newer version of Excel. Learn more: https://go.microsoft.com/fwlink/?linkid=870924
Comment:
    For Dividends</t>
      </text>
    </comment>
    <comment ref="B194" authorId="16" shapeId="0" xr:uid="{724E92CD-F6A0-47C4-9DCC-6780DCE7F60D}">
      <text>
        <t>[Threaded comment]
Your version of Excel allows you to read this threaded comment; however, any edits to it will get removed if the file is opened in a newer version of Excel. Learn more: https://go.microsoft.com/fwlink/?linkid=870924
Comment:
    For Dividends</t>
      </text>
    </comment>
    <comment ref="B346" authorId="17" shapeId="0" xr:uid="{C7BC4B73-3D5A-42FE-B775-A2734335943D}">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350" authorId="18" shapeId="0" xr:uid="{EF53A672-E0A6-4A70-8463-5CB221A6BC36}">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354" authorId="19" shapeId="0" xr:uid="{7151832A-7273-4237-AFFE-01B4630CE571}">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356" authorId="20" shapeId="0" xr:uid="{39805939-6D63-4F31-95F7-8922DC3066EB}">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370" authorId="21" shapeId="0" xr:uid="{E896B86D-C72A-4BA9-8668-BB444C344D43}">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 ref="B372" authorId="22" shapeId="0" xr:uid="{5EEADFA2-3A2E-470A-BE4E-052B6F851CF4}">
      <text>
        <t>[Threaded comment]
Your version of Excel allows you to read this threaded comment; however, any edits to it will get removed if the file is opened in a newer version of Excel. Learn more: https://go.microsoft.com/fwlink/?linkid=870924
Comment:
    They were originally in TD Direct Inv. USD SDRSP</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1">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futureMetadata>
  <cellMetadata count="1">
    <bk>
      <rc t="1" v="0"/>
    </bk>
  </cellMetadata>
  <valueMetadata count="5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valueMetadata>
</metadata>
</file>

<file path=xl/sharedStrings.xml><?xml version="1.0" encoding="utf-8"?>
<sst xmlns="http://schemas.openxmlformats.org/spreadsheetml/2006/main" count="1357" uniqueCount="408">
  <si>
    <t>Account</t>
  </si>
  <si>
    <t>Ticker</t>
  </si>
  <si>
    <t>Subtotal</t>
  </si>
  <si>
    <t>ACTION</t>
  </si>
  <si>
    <r>
      <t>US SDRSP</t>
    </r>
    <r>
      <rPr>
        <b/>
        <sz val="11"/>
        <rFont val="Calibri"/>
        <family val="2"/>
        <scheme val="minor"/>
      </rPr>
      <t xml:space="preserve"> Moved to Easy Trade USD Cash</t>
    </r>
  </si>
  <si>
    <t>Buy</t>
  </si>
  <si>
    <t>BABA</t>
  </si>
  <si>
    <t>BNGO</t>
  </si>
  <si>
    <t>MARIELA</t>
  </si>
  <si>
    <t>US Cash</t>
  </si>
  <si>
    <t>MEIP</t>
  </si>
  <si>
    <t>PFIE</t>
  </si>
  <si>
    <r>
      <t>US SDRSP</t>
    </r>
    <r>
      <rPr>
        <b/>
        <strike/>
        <sz val="11"/>
        <color rgb="FFFF00FF"/>
        <rFont val="Calibri"/>
        <family val="2"/>
        <scheme val="minor"/>
      </rPr>
      <t xml:space="preserve"> Moved to Easy Trade USD Cash</t>
    </r>
  </si>
  <si>
    <t>XPEV</t>
  </si>
  <si>
    <t>Sold on February 18, 2025</t>
  </si>
  <si>
    <t>BB</t>
  </si>
  <si>
    <t>via Options</t>
  </si>
  <si>
    <t>US SDRSP</t>
  </si>
  <si>
    <t>Sold</t>
  </si>
  <si>
    <t>Sold on Feb 6, 2024</t>
  </si>
  <si>
    <t>SUNW</t>
  </si>
  <si>
    <t>US Cash
TD Direct Inv.</t>
  </si>
  <si>
    <t>Transferred from US TFSA on Tuesday March 26, 2024</t>
  </si>
  <si>
    <t>Sold on Sept 24, 2024</t>
  </si>
  <si>
    <t>"-1772.79 in CAD$</t>
  </si>
  <si>
    <t>usd13.2 = CAD$ 17.72</t>
  </si>
  <si>
    <t>TD Direct Inv. USD TFSA</t>
  </si>
  <si>
    <t>NIO</t>
  </si>
  <si>
    <t>This doesn't show up anywhere</t>
  </si>
  <si>
    <t>Easy Trade
US Cash</t>
  </si>
  <si>
    <t>It was delisted on Nov 7, 2023 and they refunded USD$0.58</t>
  </si>
  <si>
    <t>BBBY</t>
  </si>
  <si>
    <t>TD Direct Inv. USD SDRSP</t>
  </si>
  <si>
    <t>Easy Trade
US TFSA</t>
  </si>
  <si>
    <t>BZUN</t>
  </si>
  <si>
    <t>Easy Trade US SDRSP</t>
  </si>
  <si>
    <t>TESLA, INC. (XNAS:TSLA)</t>
  </si>
  <si>
    <t>TSLA</t>
  </si>
  <si>
    <t>They were originally in TD Direct Inv. USD SDRSP</t>
  </si>
  <si>
    <t>Sold on Feb 25, 2025</t>
  </si>
  <si>
    <t>Easy Trade USD SDRSP</t>
  </si>
  <si>
    <t>Sold on Dec. 10, 2024</t>
  </si>
  <si>
    <t>Easy Trade US TFSA</t>
  </si>
  <si>
    <t>Sold on April 2, 2025</t>
  </si>
  <si>
    <t>TD Direct Inv. USD Cash</t>
  </si>
  <si>
    <t>NNDM</t>
  </si>
  <si>
    <t>Sold on March 7, 2025</t>
  </si>
  <si>
    <t>RBC
USD Cash</t>
  </si>
  <si>
    <t>Sold on April 24, 2025</t>
  </si>
  <si>
    <t>Sold on Jan. 27, 2024</t>
  </si>
  <si>
    <t>GEVO</t>
  </si>
  <si>
    <t>SOL</t>
  </si>
  <si>
    <r>
      <t>US TFSA</t>
    </r>
    <r>
      <rPr>
        <b/>
        <sz val="11"/>
        <rFont val="Calibri"/>
        <family val="2"/>
        <scheme val="minor"/>
      </rPr>
      <t xml:space="preserve"> Moved to Easy Trade USD TFSA</t>
    </r>
  </si>
  <si>
    <t>AVGR</t>
  </si>
  <si>
    <t>It did a 1-to-20 reverse split
It did a 1-to-15 split</t>
  </si>
  <si>
    <t>It got to zero. I had to remove it because it was not compliant. I called TD Direct Investing on April 16, 2025</t>
  </si>
  <si>
    <t>ASXC</t>
  </si>
  <si>
    <t>TTOO</t>
  </si>
  <si>
    <t xml:space="preserve">US TFSA Options </t>
  </si>
  <si>
    <t>ZOM</t>
  </si>
  <si>
    <t>RBC
USD TFSA</t>
  </si>
  <si>
    <t>CTRM</t>
  </si>
  <si>
    <t>After 10/1 reverse split</t>
  </si>
  <si>
    <t>Moved on April 24, 2025</t>
  </si>
  <si>
    <t>DogeCoin</t>
  </si>
  <si>
    <t>DOGE</t>
  </si>
  <si>
    <t>Easy Trade
US SDRSP</t>
  </si>
  <si>
    <t>Bought on April 25, 2022</t>
  </si>
  <si>
    <t>Sold on February 11, 2025</t>
  </si>
  <si>
    <t>MSFT</t>
  </si>
  <si>
    <t>ALEJO</t>
  </si>
  <si>
    <t>Moved to Easy Trade TFSA on April 24, 2025</t>
  </si>
  <si>
    <t>Sold on May 2, 2025</t>
  </si>
  <si>
    <t>ALEJO
I added these 2 shares on July 26, 2021 for the new 2 million COP</t>
  </si>
  <si>
    <t>TD Direct Investing. US TFSA Options</t>
  </si>
  <si>
    <t>ALEJO
I added these 2 shares on January 3, 2021 for the new 2 million COP</t>
  </si>
  <si>
    <t>Bought on April 30, 2025</t>
  </si>
  <si>
    <t>I had initially bought 76 shares, but sold 38</t>
  </si>
  <si>
    <t>Sold on May 1, 2025</t>
  </si>
  <si>
    <t>Wealthsimple</t>
  </si>
  <si>
    <t>Cardano</t>
  </si>
  <si>
    <t>ADA</t>
  </si>
  <si>
    <t>Kept as off March 2, 2025</t>
  </si>
  <si>
    <t>Sold on March 2, 2025</t>
  </si>
  <si>
    <t>SHIBA INU</t>
  </si>
  <si>
    <t>SHIB</t>
  </si>
  <si>
    <r>
      <rPr>
        <strike/>
        <sz val="11"/>
        <color rgb="FFFF0000"/>
        <rFont val="Calibri"/>
        <family val="2"/>
        <scheme val="minor"/>
      </rPr>
      <t xml:space="preserve">US TFSA. </t>
    </r>
    <r>
      <rPr>
        <sz val="11"/>
        <color theme="1"/>
        <rFont val="Calibri"/>
        <family val="2"/>
        <scheme val="minor"/>
      </rPr>
      <t xml:space="preserve"> Moved to Easy Trade USD TFSA</t>
    </r>
  </si>
  <si>
    <t>BTBT</t>
  </si>
  <si>
    <t>Option Exercised. Nov 19, 2021</t>
  </si>
  <si>
    <t>TD Direct Investing. US SDRSP</t>
  </si>
  <si>
    <t>Easy trade US Cash</t>
  </si>
  <si>
    <t>Moved 2 shares from USD Cash to Easy trade US TFSA on Dec 16, 2024</t>
  </si>
  <si>
    <t>Easy trade US TFSA</t>
  </si>
  <si>
    <t>Moved from USD Cash to Easy trade US TFSA on Dec 16, 2024</t>
  </si>
  <si>
    <t>Sold on March 31, 2025</t>
  </si>
  <si>
    <t>Bought on Oct 7, 2024</t>
  </si>
  <si>
    <t>Bought on January 30, 2025</t>
  </si>
  <si>
    <t>Sold on Feb. 3, 2025</t>
  </si>
  <si>
    <t>MARA</t>
  </si>
  <si>
    <t>It was initially on US TFSA Options and moved to US SDRSP because of overcontribution. July 26, 2022</t>
  </si>
  <si>
    <t>Sold on March 8, 2024.</t>
  </si>
  <si>
    <t>NVDA</t>
  </si>
  <si>
    <t>Easy Trade USD Cash</t>
  </si>
  <si>
    <t>Originally, I had 27 shares and moved 13 to SDRSP on Dec 10, 2024.
CK04375020. Contributed $CAD7300</t>
  </si>
  <si>
    <t>Easy Trade
CAD Cash</t>
  </si>
  <si>
    <t>Date purchase. Dec 18, 2023</t>
  </si>
  <si>
    <t>Enrolled all TD direct investment accounts to DRIP on Dec 18, 2023</t>
  </si>
  <si>
    <t>ENBRIDGE</t>
  </si>
  <si>
    <t>Easy Trade
CAD TFSA</t>
  </si>
  <si>
    <t>Date purchase. Dec 19, 2023</t>
  </si>
  <si>
    <t>(XTSE:REI.TO)</t>
  </si>
  <si>
    <t>REI-UN.TO</t>
  </si>
  <si>
    <t>RBC
CAD Cash</t>
  </si>
  <si>
    <t>Date purchase. Dec 20, 2023</t>
  </si>
  <si>
    <t>ScotiaBank</t>
  </si>
  <si>
    <t>Sold on March 27, 2025</t>
  </si>
  <si>
    <t>Moved to Easy trade US SDRSP on Dec 16, 2024</t>
  </si>
  <si>
    <t>Moved to Easy trade US TFSA on Dec 16, 2024</t>
  </si>
  <si>
    <t>RBC</t>
  </si>
  <si>
    <t>Sold on Oct. 10, 2024</t>
  </si>
  <si>
    <t>Sold on Aug 29, 2024</t>
  </si>
  <si>
    <t>SHOPIFY</t>
  </si>
  <si>
    <t>Bouthg it on March 11, 2024</t>
  </si>
  <si>
    <t>AMD</t>
  </si>
  <si>
    <t>Bouthg it on March 22, 2024
CDR in CAD$ and sold it on March 26, 2024</t>
  </si>
  <si>
    <t>MSFT CDR</t>
  </si>
  <si>
    <t>Bougth on Nov. 13, 2024</t>
  </si>
  <si>
    <t>Sold on Feb 11, 2025</t>
  </si>
  <si>
    <t>Original before the 10/1 split on Friday June 7, 2024</t>
  </si>
  <si>
    <t>Sold on Feb 21, 2025</t>
  </si>
  <si>
    <t>Bougth on June 24, 2024</t>
  </si>
  <si>
    <t>Sold on Sept 12, 2024</t>
  </si>
  <si>
    <t>Bougth on July 17, 2024</t>
  </si>
  <si>
    <t>Bougth on July 24, 2024</t>
  </si>
  <si>
    <t>Bougth on Aug 29, 2024</t>
  </si>
  <si>
    <t>Bougth on October 15, 2024</t>
  </si>
  <si>
    <t>Sold on May 23, 2025</t>
  </si>
  <si>
    <t>Bougth on June 14, 2024</t>
  </si>
  <si>
    <t>Bougth on October 23, 2024</t>
  </si>
  <si>
    <t>I initially had 33 shares and sold 10 for Mariela on May 29, 2025</t>
  </si>
  <si>
    <t>I initially had 23 shares and sold 10 for Mariela on May 29, 2025</t>
  </si>
  <si>
    <t>I nitially had 33 shares and sold 10 and then 5 shares for Mariela. Moved from USD Cash to Easy trade US TFSA on Dec 16, 2024</t>
  </si>
  <si>
    <t>RBC USD Cash</t>
  </si>
  <si>
    <t>Bought on Dec 16, 2024</t>
  </si>
  <si>
    <t>Sold on May 14, 2025</t>
  </si>
  <si>
    <t>Sold on May 29, 2025 for Mariela</t>
  </si>
  <si>
    <t>Bought on Jan 7, 2025</t>
  </si>
  <si>
    <t>TD Direct Inv. 2nd US TFSA</t>
  </si>
  <si>
    <t>AMC</t>
  </si>
  <si>
    <t>Canadian #. Bought on May 28, 2024</t>
  </si>
  <si>
    <t>Manulife</t>
  </si>
  <si>
    <t>Bought on May 30, 2024 and sold on July 30, 2024</t>
  </si>
  <si>
    <t>Canadian #. Bought on SEP 24, 2024</t>
  </si>
  <si>
    <t>K.TO</t>
  </si>
  <si>
    <t>Bought on February 19, 2025</t>
  </si>
  <si>
    <t>US SDRSP
TD Direct Inv.</t>
  </si>
  <si>
    <t>QQQ ETF</t>
  </si>
  <si>
    <t>Bought on Dec 19, 2024</t>
  </si>
  <si>
    <t>Sold on Feb. 10, 2025</t>
  </si>
  <si>
    <t>Sold on June 9, 2025</t>
  </si>
  <si>
    <t>Moved to Easy Trade USD SDRSP on May 14, 2025. It was originally in TD Direct Invest. SDRSP</t>
  </si>
  <si>
    <t>Bought on Jan 10, 2025</t>
  </si>
  <si>
    <t>US cash
TD Direct Inv.</t>
  </si>
  <si>
    <t>Bought on Jan 17, 2025</t>
  </si>
  <si>
    <t>Sold on Jan 27, 2025</t>
  </si>
  <si>
    <t>SQQQ ETF</t>
  </si>
  <si>
    <t>Bought on Jan 27, 2025</t>
  </si>
  <si>
    <t>TSLA Q -2x SHORT</t>
  </si>
  <si>
    <t>Bought on Feb. 3, 2025</t>
  </si>
  <si>
    <t>Bought on Feb. 4, 2025</t>
  </si>
  <si>
    <t>Sold on Feb. 5, 2025</t>
  </si>
  <si>
    <t>NVIDIA Q -2x SHORT</t>
  </si>
  <si>
    <t>Bought on Feb. 5, 2025</t>
  </si>
  <si>
    <t>Bought on Feb. 6, 2025</t>
  </si>
  <si>
    <t>Sold on Feb. 6, 2025</t>
  </si>
  <si>
    <t>Bought on Feb. 7, 2025</t>
  </si>
  <si>
    <t>Sold on Feb. 7, 2025</t>
  </si>
  <si>
    <t>Bought on Feb. 10, 2025</t>
  </si>
  <si>
    <t>Bought on Feb. 11, 2025</t>
  </si>
  <si>
    <t>Sold on Feb. 12, 2025</t>
  </si>
  <si>
    <t>Sold on Feb. 11, 2025</t>
  </si>
  <si>
    <t>Bought on Feb. 12, 2025</t>
  </si>
  <si>
    <t>Sold on Feb. 18, 2025</t>
  </si>
  <si>
    <t>Bought on Feb. 13, 2025</t>
  </si>
  <si>
    <t>Sold on Feb. 13, 2025</t>
  </si>
  <si>
    <t>Bought on Feb. 14, 2025</t>
  </si>
  <si>
    <t>Bought on Feb. 18, 2025</t>
  </si>
  <si>
    <t>Sold on May 27, 2025</t>
  </si>
  <si>
    <t>Bought on Feb. 19, 2025</t>
  </si>
  <si>
    <t>MARIELA-Bought on March 21, 2025. I sold others On May 29, 2025 for Mariela because I want to keep them for me in the future.</t>
  </si>
  <si>
    <t>Bought on Feb. 21, 2025</t>
  </si>
  <si>
    <t>Bought on Feb. 27, 2025</t>
  </si>
  <si>
    <t>Bought on  March. 10, 2025</t>
  </si>
  <si>
    <t>Bought on  March. 11, 2025</t>
  </si>
  <si>
    <t>Bought on Feb. 28, 2025</t>
  </si>
  <si>
    <t>Sold on Feb. 28, 2025</t>
  </si>
  <si>
    <t>Bought on  March. 3, 2025</t>
  </si>
  <si>
    <t>Sold  on  March. 4, 2025</t>
  </si>
  <si>
    <t>Bought on March 7, 2025</t>
  </si>
  <si>
    <t>Sold  on March 7, 2025</t>
  </si>
  <si>
    <t>Bought on March 11, 2025</t>
  </si>
  <si>
    <t>Sold  on March 18, 2025</t>
  </si>
  <si>
    <t>Bought on March 14, 2025</t>
  </si>
  <si>
    <t>Sold  on March 14, 2025</t>
  </si>
  <si>
    <t>Bought on March 26, 2025</t>
  </si>
  <si>
    <t>Bought on April 3, 2025</t>
  </si>
  <si>
    <t>Initially had 80 shares but sold 40 shares on April 23, 2025</t>
  </si>
  <si>
    <t>APPLE</t>
  </si>
  <si>
    <t>Bought on Apr 4, 2025</t>
  </si>
  <si>
    <t>Sold on April 4, 2025</t>
  </si>
  <si>
    <t>Easy Trade
USD SDRSP</t>
  </si>
  <si>
    <t>Bought on April 4, 2025</t>
  </si>
  <si>
    <t>I had initially bought 45 shares, but sold 22</t>
  </si>
  <si>
    <t>Sold 23 shares on April 22, 2025</t>
  </si>
  <si>
    <t>Bought on April 17, 2025</t>
  </si>
  <si>
    <t>Sold on April 22, 2025</t>
  </si>
  <si>
    <t>Bought on April 21, 2025</t>
  </si>
  <si>
    <t>Bought on April 25, 2025</t>
  </si>
  <si>
    <t>Sold on June 5, 2025</t>
  </si>
  <si>
    <t>Bought on May 5, 2025</t>
  </si>
  <si>
    <t>I had initially bought 150 shares and sold 100 on May 5, 2025.</t>
  </si>
  <si>
    <t>Sold on May 5, 2025</t>
  </si>
  <si>
    <t>Bought on May 12, 2025</t>
  </si>
  <si>
    <t>Sold on August 20, 2025</t>
  </si>
  <si>
    <r>
      <t xml:space="preserve">TD Direct Inv. </t>
    </r>
    <r>
      <rPr>
        <b/>
        <sz val="11"/>
        <color rgb="FFFF0000"/>
        <rFont val="Calibri"/>
        <family val="2"/>
        <scheme val="minor"/>
      </rPr>
      <t>CAD</t>
    </r>
    <r>
      <rPr>
        <b/>
        <sz val="11"/>
        <color theme="1"/>
        <rFont val="Calibri"/>
        <family val="2"/>
        <scheme val="minor"/>
      </rPr>
      <t xml:space="preserve"> SDRSP</t>
    </r>
  </si>
  <si>
    <t>Mutual Fund TDB3540</t>
  </si>
  <si>
    <t>Bought it in 2023</t>
  </si>
  <si>
    <t>Sold on July 22, 2025. Effective date July 23rd</t>
  </si>
  <si>
    <t>Bought on May 13, 2025</t>
  </si>
  <si>
    <t>Bought on May 14, 2025</t>
  </si>
  <si>
    <t>Bought on May 19, 2025</t>
  </si>
  <si>
    <t>Sold on May 19, 2025</t>
  </si>
  <si>
    <t>Bought on May 28, 2025</t>
  </si>
  <si>
    <t>Bought on June 2, 2025</t>
  </si>
  <si>
    <t>Easy Trade CAD Cash</t>
  </si>
  <si>
    <t>Bought on June 4, 2025</t>
  </si>
  <si>
    <t>Sold on July 21, 2025</t>
  </si>
  <si>
    <t>BMO</t>
  </si>
  <si>
    <t>Sold on Sep. 3, 2025</t>
  </si>
  <si>
    <t>Bought on June 5, 2025</t>
  </si>
  <si>
    <t>Bought on June 9, 2025</t>
  </si>
  <si>
    <t>Bought on June 10, 2025</t>
  </si>
  <si>
    <t>Bought on June 12, 2025</t>
  </si>
  <si>
    <t>Bought on June 13, 2025</t>
  </si>
  <si>
    <t>Sold on June 13, 2025</t>
  </si>
  <si>
    <t>HOOD</t>
  </si>
  <si>
    <t>Bought on July 1, 2025</t>
  </si>
  <si>
    <t>Sold on July 1, 2025</t>
  </si>
  <si>
    <t>Bought on July 7, 2025</t>
  </si>
  <si>
    <t>Bought on July 22, 2025</t>
  </si>
  <si>
    <r>
      <t xml:space="preserve">TD Direct Inv. </t>
    </r>
    <r>
      <rPr>
        <b/>
        <sz val="11"/>
        <color rgb="FFFF0000"/>
        <rFont val="Calibri"/>
        <family val="2"/>
        <scheme val="minor"/>
      </rPr>
      <t>CAD</t>
    </r>
    <r>
      <rPr>
        <b/>
        <sz val="11"/>
        <color theme="1"/>
        <rFont val="Calibri"/>
        <family val="2"/>
        <scheme val="minor"/>
      </rPr>
      <t xml:space="preserve"> Cash</t>
    </r>
  </si>
  <si>
    <t>ZDV BMO ETF</t>
  </si>
  <si>
    <t>Sold  on July 29, 2025</t>
  </si>
  <si>
    <t>Bought on July 24, 2025</t>
  </si>
  <si>
    <t>Sold on Aug 1, 2025</t>
  </si>
  <si>
    <t>Bought on July 25, 2025</t>
  </si>
  <si>
    <t>TD Direct Inv. CAD Cash</t>
  </si>
  <si>
    <t>Bought on July 29, 2025</t>
  </si>
  <si>
    <t>Sold on Aug 7, 2025</t>
  </si>
  <si>
    <t>TD Direct Inv. CAD SDRSP</t>
  </si>
  <si>
    <t>Bought on July 31, 2025</t>
  </si>
  <si>
    <t>Sold on August 4, 2025</t>
  </si>
  <si>
    <t>Bought on Aug 1, 2025</t>
  </si>
  <si>
    <t>ALEJO. Only 5 shares</t>
  </si>
  <si>
    <t>Bought on August 7, 2025</t>
  </si>
  <si>
    <t>Bought on August 11, 2025</t>
  </si>
  <si>
    <t>Bought on August 13, 2025</t>
  </si>
  <si>
    <t>Bought on August 19, 2025</t>
  </si>
  <si>
    <t>GRAB</t>
  </si>
  <si>
    <t>Bought on August 21, 2025</t>
  </si>
  <si>
    <t>Bought on August 29, 2025</t>
  </si>
  <si>
    <t>Bought on Sep. 4, 2025</t>
  </si>
  <si>
    <t>Sold on Sep. 4, 2025</t>
  </si>
  <si>
    <t>Bought on Sep 5, 2025</t>
  </si>
  <si>
    <t>Bought on Sep. 5, 2025</t>
  </si>
  <si>
    <t>Sold on Sep 5, 2025</t>
  </si>
  <si>
    <t>Bought on Sep 9, 2025</t>
  </si>
  <si>
    <t>Sold on Sep 11, 2025</t>
  </si>
  <si>
    <t>Bought on Sep 11, 2025</t>
  </si>
  <si>
    <t>Bought on Sep. 12, 2025</t>
  </si>
  <si>
    <t>Bought on Sep 16, 2025</t>
  </si>
  <si>
    <t>Bought on Sep 17, 2025</t>
  </si>
  <si>
    <t>Sold on Sep 18, 2025</t>
  </si>
  <si>
    <t>Bought on Sep 18, 2025</t>
  </si>
  <si>
    <t>Sold on Sep 23, 2025</t>
  </si>
  <si>
    <t>Sold on Sep. 23, 2025</t>
  </si>
  <si>
    <t>Bought on Sep 23, 2025</t>
  </si>
  <si>
    <t>Bought on Sep 24, 2025</t>
  </si>
  <si>
    <t>Sold 18 shares on Sep 24, 2025</t>
  </si>
  <si>
    <t>Sold on Sep 24, 2025</t>
  </si>
  <si>
    <t>Bought on Sep 25, 2025</t>
  </si>
  <si>
    <t>Sold on Sep 25, 2025</t>
  </si>
  <si>
    <t>Bought on Sep 26, 2025</t>
  </si>
  <si>
    <t>Sold on Sep 26, 2025</t>
  </si>
  <si>
    <t>Sold on Sep 30, 2025</t>
  </si>
  <si>
    <t>Bought on Sep 30, 2025</t>
  </si>
  <si>
    <t>Bought on Oct 2, 2025</t>
  </si>
  <si>
    <t>Bought on Oct 6, 2025</t>
  </si>
  <si>
    <t>Sold on Oct 6, 2025</t>
  </si>
  <si>
    <t>Bought on Oct 7, 2025</t>
  </si>
  <si>
    <t>Sold  on October 10, 2025</t>
  </si>
  <si>
    <t>I initially bought 19 shares, 5 of Alejo.</t>
  </si>
  <si>
    <t>Bought on Oct 10, 2025</t>
  </si>
  <si>
    <t>Sold on Oct 10, 2025</t>
  </si>
  <si>
    <t>Bought on Oct 14, 2025</t>
  </si>
  <si>
    <t>Sold on Oct 15, 2025</t>
  </si>
  <si>
    <t>TD Direct Inv US Cash</t>
  </si>
  <si>
    <t>Bought on Oct 16, 2025</t>
  </si>
  <si>
    <t>Interactive Brokers (IBKR)
USD Cash - U22395746</t>
  </si>
  <si>
    <t>PLTR</t>
  </si>
  <si>
    <t>Bought on Oct 21, 2025</t>
  </si>
  <si>
    <t>NETFLIX</t>
  </si>
  <si>
    <t>Beyond Meat</t>
  </si>
  <si>
    <t>Bought on Oct 22, 2025</t>
  </si>
  <si>
    <t>Sold on Oct 23, 2025</t>
  </si>
  <si>
    <t>Bought on Oct 24, 2025</t>
  </si>
  <si>
    <t>Bought on Oct 29, 2025</t>
  </si>
  <si>
    <t>TD Direct Inv CAD Cash</t>
  </si>
  <si>
    <t>Sold on October 29, 2025</t>
  </si>
  <si>
    <t>Transferred to TD Direct Inv CASH CAD on October 29, 2025 and then Sold on October 29, 2025</t>
  </si>
  <si>
    <t>Transferred 14 shares from TD Easy trade CASH CAD on October 29, 2025 and then Sold 69 SHARES on October 29, 2025</t>
  </si>
  <si>
    <t>CIBC</t>
  </si>
  <si>
    <t>Sold on Oct 30, 2025</t>
  </si>
  <si>
    <t>Bought on Nov 3, 2025</t>
  </si>
  <si>
    <t>Sold on Nov 4, 2025</t>
  </si>
  <si>
    <t>Bought on Nov. 4, 2025</t>
  </si>
  <si>
    <t>Bought on Nov. 6, 2025</t>
  </si>
  <si>
    <t>Bought on Nov. 7, 2025</t>
  </si>
  <si>
    <t>Bought on Nov. 12, 2025</t>
  </si>
  <si>
    <t>Bought on Nov. 13, 2025</t>
  </si>
  <si>
    <t>Sold on Nov. 17, 2025</t>
  </si>
  <si>
    <t>Bought on Nov 17, 2025</t>
  </si>
  <si>
    <t>Bought on Nov. 18, 2025</t>
  </si>
  <si>
    <t>It had a 10/1 split registed in the cells below</t>
  </si>
  <si>
    <t>After the 10/1 split On Nov 17, 2025</t>
  </si>
  <si>
    <t>Bought on Nov 18, 2025</t>
  </si>
  <si>
    <t>Sold on Nov 20, 2025</t>
  </si>
  <si>
    <t>Sold on Nov. 21, 2025</t>
  </si>
  <si>
    <t>Bought on Nov. 21, 2025</t>
  </si>
  <si>
    <t>Bought on Nov 25, 2025</t>
  </si>
  <si>
    <t>Sold on Nov 26, 2025</t>
  </si>
  <si>
    <t>BANK ETF</t>
  </si>
  <si>
    <t>Bought on Nov 26, 2025</t>
  </si>
  <si>
    <t>Sold on Nov. 26, 2025</t>
  </si>
  <si>
    <t>Sold on Dec. 3, 2025</t>
  </si>
  <si>
    <t>Bought on Dec. 3, 2025</t>
  </si>
  <si>
    <t>Bought on Dec. 8, 2025</t>
  </si>
  <si>
    <t>Bought on Dec 11, 2025</t>
  </si>
  <si>
    <t>Sold on Dec 12, 2025</t>
  </si>
  <si>
    <t>Bought on Dec. 12, 2025</t>
  </si>
  <si>
    <t>Bought on Dec 17, 2025</t>
  </si>
  <si>
    <t>Bought on Dec. 17, 2025</t>
  </si>
  <si>
    <t>Bought on Dec 19, 2025</t>
  </si>
  <si>
    <t>Bought on Dec 22, 2025</t>
  </si>
  <si>
    <t>Bought on Dec 23, 2025</t>
  </si>
  <si>
    <t>Bought on Dec 24, 2025</t>
  </si>
  <si>
    <t>Sold on Dec 26, 2025</t>
  </si>
  <si>
    <t>Bought on Dec 26, 2025</t>
  </si>
  <si>
    <t>Bought on Dec 29, 2025</t>
  </si>
  <si>
    <t>On Dec 29, 2025, I called to transfer the 910 shares from TD Direct 49F6X5K–USD TFSA to TD Direct 140HY5J–CAD TFSA</t>
  </si>
  <si>
    <t>TD Direct Inv. 140HY5J–CAD TFSA</t>
  </si>
  <si>
    <t>It has the DRIP activated (Dividend Reinvestment Plan)</t>
  </si>
  <si>
    <t>Questrade- CAD Cash - 40149623</t>
  </si>
  <si>
    <t>Sold on Dec 30, 2025</t>
  </si>
  <si>
    <t>TSLA INVERSE ETF</t>
  </si>
  <si>
    <t>Bought on Dec 30, 2025</t>
  </si>
  <si>
    <r>
      <t xml:space="preserve">I transferred 738 from TD Direct Inv. 140HY5B USD Cash TO TD Direct Inv. </t>
    </r>
    <r>
      <rPr>
        <b/>
        <sz val="11"/>
        <color theme="1"/>
        <rFont val="Calibri"/>
        <family val="2"/>
        <scheme val="minor"/>
      </rPr>
      <t>140HY5A CAD Cash on Dec 31, 2025</t>
    </r>
  </si>
  <si>
    <t>Sold on Dec 31, 2025. Total shares 4.02916 with DRIP</t>
  </si>
  <si>
    <t>Bought on May 19, 2023</t>
  </si>
  <si>
    <t>Bought on Dec 31, 2025</t>
  </si>
  <si>
    <t>Sold on Jan. 2, 2026</t>
  </si>
  <si>
    <t>Bought on January 2, 2026</t>
  </si>
  <si>
    <t>Sold on Jan 5, 2026</t>
  </si>
  <si>
    <t>Bought on Jan. 5, 2025</t>
  </si>
  <si>
    <t>Sold on Jan. 5, 2025</t>
  </si>
  <si>
    <t>Bought on Jan. 6, 2025</t>
  </si>
  <si>
    <t>XDIV ETF</t>
  </si>
  <si>
    <t>TD Direct Inv CAD 744LH0E - Margin</t>
  </si>
  <si>
    <t>Transferred from TD Onwership Plan on Dec 29, 2025. The purchase price is estimated average</t>
  </si>
  <si>
    <t>Transferred on Jan. 7, 2025 to TD Direct Inv CAD 744LH0E - Margin</t>
  </si>
  <si>
    <t>Bought on Jan. 8, 2025</t>
  </si>
  <si>
    <t>TD Easy Trade 546HM2B USD Cash</t>
  </si>
  <si>
    <t>TD Easy Trade 546HM2K USD TFSA</t>
  </si>
  <si>
    <t>TD Direct Inv. 140HY5B USD Cash</t>
  </si>
  <si>
    <t>TD Direct Inv. 140HY5K USD TFSA</t>
  </si>
  <si>
    <t>TD Direct Inv. 140HY5U USD SDRSP</t>
  </si>
  <si>
    <t>Easy Trade 546HM2U USD SDRSP</t>
  </si>
  <si>
    <t>GOOGL</t>
  </si>
  <si>
    <t>I MOVED 16 shares (Initially had 31 shares) from my TD Direct Inv. 140HY5B USD Cash to my TD Direct Inves USD RRSP on Jan 15, 2026.  Total contribution CAD$4138.69 Details here: E:\OneDrive\Gabriel-Tax-filings_For_2025-to be done in 2026\RRSP Contributions</t>
  </si>
  <si>
    <t>I MOVED 5 shares from my TD Direct Inv. 140HY5B USD Cash to my TD Direct Inves USD RRSP on Jan 15, 2026. Total contribution CAD$3015.63 Details here: E:\OneDrive\Gabriel-Tax-filings_For_2025-to be done in 2026\RRSP Contributions</t>
  </si>
  <si>
    <t>Sold on Jan. 16, 2025</t>
  </si>
  <si>
    <t>Bought on Jan. 29, 2026</t>
  </si>
  <si>
    <t>Bought on Jan. 8, 2026</t>
  </si>
  <si>
    <t>Bought on Jan. 7, 2025, using 25K of HELOC at 3.94%</t>
  </si>
  <si>
    <t>Easy Trade CAD Cash 546HM2A</t>
  </si>
  <si>
    <t>Easy Trade US Cash 546HM2B</t>
  </si>
  <si>
    <t>Easy Trade US Cash</t>
  </si>
  <si>
    <t>Sold it on Oct 15, 2025</t>
  </si>
  <si>
    <t>Visible_Columns</t>
  </si>
  <si>
    <t>Ticker_Converted</t>
  </si>
  <si>
    <t>Current_price</t>
  </si>
  <si>
    <t>Purchase_Sell_price</t>
  </si>
  <si>
    <t>Amount_of_shares</t>
  </si>
  <si>
    <t>PROFITS_in_$</t>
  </si>
  <si>
    <t>PROFITS_in_%</t>
  </si>
  <si>
    <t>Purchase_date</t>
  </si>
  <si>
    <t>Selling_date</t>
  </si>
  <si>
    <t>TD.TO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</si>
</sst>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0.00;[Red]#,##0.00"/>
    <numFmt numFmtId="165" formatCode="0.000"/>
    <numFmt numFmtId="166" formatCode="0.0000000"/>
    <numFmt numFmtId="167" formatCode="0.0000"/>
    <numFmt numFmtId="168" formatCode="[$-F800]dddd\,\ mmmm\ dd\,\ yyyy"/>
    <numFmt numFmtId="169" formatCode="0.0"/>
    <numFmt numFmtId="170" formatCode="0.00000"/>
    <numFmt numFmtId="171" formatCode="yyyy\-mm\-dd;@"/>
  </numFmts>
  <fonts count="1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Arial"/>
      <family val="2"/>
    </font>
    <font>
      <b/>
      <strike/>
      <sz val="11"/>
      <color rgb="FFFF0000"/>
      <name val="Calibri"/>
      <family val="2"/>
      <scheme val="minor"/>
    </font>
    <font>
      <strike/>
      <sz val="11"/>
      <color rgb="FFFF0000"/>
      <name val="Calibri"/>
      <family val="2"/>
      <scheme val="minor"/>
    </font>
    <font>
      <b/>
      <strike/>
      <sz val="11"/>
      <color rgb="FFFF00FF"/>
      <name val="Calibri"/>
      <family val="2"/>
      <scheme val="minor"/>
    </font>
    <font>
      <strike/>
      <sz val="11"/>
      <color rgb="FFFF00FF"/>
      <name val="Calibri"/>
      <family val="2"/>
      <scheme val="minor"/>
    </font>
    <font>
      <b/>
      <sz val="11"/>
      <name val="Calibri"/>
      <family val="2"/>
      <scheme val="minor"/>
    </font>
    <font>
      <b/>
      <sz val="11"/>
      <color rgb="FFFF0000"/>
      <name val="Calibri"/>
      <family val="2"/>
      <scheme val="minor"/>
    </font>
    <font>
      <strike/>
      <sz val="11"/>
      <color theme="0"/>
      <name val="Calibri"/>
      <family val="2"/>
      <scheme val="minor"/>
    </font>
    <font>
      <sz val="11"/>
      <name val="Calibri"/>
      <family val="2"/>
      <scheme val="minor"/>
    </font>
    <font>
      <sz val="10"/>
      <color rgb="FF000000"/>
      <name val="Calibri"/>
      <family val="2"/>
      <scheme val="minor"/>
    </font>
  </fonts>
  <fills count="1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00FFFF"/>
        <bgColor indexed="64"/>
      </patternFill>
    </fill>
    <fill>
      <patternFill patternType="solid">
        <fgColor rgb="FFFFC000"/>
        <bgColor indexed="64"/>
      </patternFill>
    </fill>
    <fill>
      <patternFill patternType="solid">
        <fgColor rgb="FFF7C5F1"/>
        <bgColor indexed="64"/>
      </patternFill>
    </fill>
    <fill>
      <patternFill patternType="solid">
        <fgColor theme="8" tint="0.39997558519241921"/>
        <bgColor indexed="64"/>
      </patternFill>
    </fill>
    <fill>
      <patternFill patternType="solid">
        <fgColor rgb="FF7030A0"/>
        <bgColor indexed="64"/>
      </patternFill>
    </fill>
    <fill>
      <patternFill patternType="solid">
        <fgColor theme="0"/>
        <bgColor indexed="64"/>
      </patternFill>
    </fill>
    <fill>
      <patternFill patternType="solid">
        <fgColor rgb="FF0070C0"/>
        <bgColor indexed="64"/>
      </patternFill>
    </fill>
    <fill>
      <patternFill patternType="solid">
        <fgColor theme="5" tint="-0.249977111117893"/>
        <bgColor indexed="64"/>
      </patternFill>
    </fill>
    <fill>
      <patternFill patternType="solid">
        <fgColor theme="4"/>
        <bgColor indexed="64"/>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xf numFmtId="0" fontId="14" fillId="0" borderId="0"/>
  </cellStyleXfs>
  <cellXfs count="207">
    <xf numFmtId="0" fontId="0" fillId="0" borderId="0" xfId="0"/>
    <xf numFmtId="2" fontId="2"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vertical="center" wrapText="1"/>
    </xf>
    <xf numFmtId="10" fontId="0" fillId="0" borderId="1" xfId="2" applyNumberFormat="1" applyFont="1" applyBorder="1" applyAlignment="1">
      <alignment horizontal="center" vertical="center"/>
    </xf>
    <xf numFmtId="2"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4" fontId="0" fillId="0" borderId="1" xfId="1" applyNumberFormat="1" applyFont="1" applyBorder="1" applyAlignment="1">
      <alignment horizontal="center" vertical="center"/>
    </xf>
    <xf numFmtId="10" fontId="0" fillId="0" borderId="0" xfId="2" applyNumberFormat="1" applyFont="1" applyBorder="1" applyAlignment="1">
      <alignment horizontal="center" vertical="center"/>
    </xf>
    <xf numFmtId="10" fontId="0" fillId="3" borderId="0" xfId="2" applyNumberFormat="1" applyFont="1" applyFill="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2" fontId="0" fillId="0" borderId="1" xfId="0" quotePrefix="1" applyNumberFormat="1" applyBorder="1" applyAlignment="1">
      <alignment horizontal="center" vertical="center"/>
    </xf>
    <xf numFmtId="2" fontId="0" fillId="4" borderId="1" xfId="0" applyNumberFormat="1" applyFill="1" applyBorder="1" applyAlignment="1">
      <alignment horizontal="center" vertical="center"/>
    </xf>
    <xf numFmtId="1" fontId="0" fillId="4" borderId="1" xfId="0" applyNumberFormat="1" applyFill="1" applyBorder="1" applyAlignment="1">
      <alignment horizontal="center" vertical="center"/>
    </xf>
    <xf numFmtId="2" fontId="0" fillId="3" borderId="0" xfId="0" applyNumberFormat="1" applyFill="1" applyAlignment="1">
      <alignment horizontal="center" vertical="center"/>
    </xf>
    <xf numFmtId="2" fontId="0" fillId="3" borderId="0" xfId="0" applyNumberFormat="1" applyFill="1" applyAlignment="1">
      <alignment horizontal="center" vertical="center" wrapText="1"/>
    </xf>
    <xf numFmtId="2" fontId="0" fillId="7" borderId="1" xfId="0" applyNumberFormat="1" applyFill="1" applyBorder="1" applyAlignment="1">
      <alignment horizontal="center" vertical="center"/>
    </xf>
    <xf numFmtId="1" fontId="0" fillId="7" borderId="1" xfId="0" applyNumberFormat="1" applyFill="1" applyBorder="1" applyAlignment="1">
      <alignment horizontal="center" vertical="center"/>
    </xf>
    <xf numFmtId="2" fontId="0" fillId="0" borderId="0" xfId="0" quotePrefix="1" applyNumberFormat="1" applyAlignment="1">
      <alignment horizontal="center" vertical="center"/>
    </xf>
    <xf numFmtId="2" fontId="0" fillId="4" borderId="1" xfId="0" quotePrefix="1" applyNumberFormat="1" applyFill="1" applyBorder="1" applyAlignment="1">
      <alignment horizontal="center" vertical="center"/>
    </xf>
    <xf numFmtId="2" fontId="0" fillId="6" borderId="0" xfId="0" applyNumberFormat="1" applyFill="1" applyAlignment="1">
      <alignment horizontal="center" vertical="center"/>
    </xf>
    <xf numFmtId="2" fontId="0" fillId="6" borderId="1" xfId="0" applyNumberFormat="1" applyFill="1" applyBorder="1" applyAlignment="1">
      <alignment horizontal="center" vertical="center"/>
    </xf>
    <xf numFmtId="1" fontId="0" fillId="6" borderId="1" xfId="0" applyNumberFormat="1" applyFill="1" applyBorder="1" applyAlignment="1">
      <alignment horizontal="center" vertical="center"/>
    </xf>
    <xf numFmtId="4" fontId="0" fillId="6" borderId="1" xfId="1" applyNumberFormat="1" applyFont="1" applyFill="1" applyBorder="1" applyAlignment="1">
      <alignment horizontal="center" vertical="center"/>
    </xf>
    <xf numFmtId="10" fontId="0" fillId="6" borderId="1" xfId="2" applyNumberFormat="1" applyFont="1" applyFill="1" applyBorder="1" applyAlignment="1">
      <alignment horizontal="center" vertical="center"/>
    </xf>
    <xf numFmtId="165" fontId="0" fillId="4" borderId="1" xfId="0" applyNumberFormat="1" applyFill="1" applyBorder="1" applyAlignment="1">
      <alignment horizontal="center" vertical="center"/>
    </xf>
    <xf numFmtId="4" fontId="0" fillId="3" borderId="1" xfId="1" applyNumberFormat="1" applyFont="1" applyFill="1" applyBorder="1" applyAlignment="1">
      <alignment horizontal="center" vertical="center"/>
    </xf>
    <xf numFmtId="10" fontId="0" fillId="3" borderId="1" xfId="2" applyNumberFormat="1" applyFont="1" applyFill="1" applyBorder="1" applyAlignment="1">
      <alignment horizontal="center" vertical="center"/>
    </xf>
    <xf numFmtId="166" fontId="0" fillId="4" borderId="1" xfId="0" applyNumberFormat="1" applyFill="1" applyBorder="1" applyAlignment="1">
      <alignment horizontal="center" vertical="center"/>
    </xf>
    <xf numFmtId="2" fontId="0" fillId="5" borderId="1" xfId="0" applyNumberFormat="1" applyFill="1" applyBorder="1" applyAlignment="1">
      <alignment horizontal="center" vertical="center"/>
    </xf>
    <xf numFmtId="165" fontId="0" fillId="5" borderId="1" xfId="0" applyNumberFormat="1" applyFill="1" applyBorder="1" applyAlignment="1">
      <alignment horizontal="center" vertical="center"/>
    </xf>
    <xf numFmtId="1" fontId="0" fillId="5" borderId="1" xfId="0" applyNumberFormat="1" applyFill="1" applyBorder="1" applyAlignment="1">
      <alignment horizontal="center" vertical="center"/>
    </xf>
    <xf numFmtId="2" fontId="0" fillId="5" borderId="1" xfId="0" quotePrefix="1" applyNumberFormat="1" applyFill="1" applyBorder="1" applyAlignment="1">
      <alignment horizontal="center" vertical="center"/>
    </xf>
    <xf numFmtId="1" fontId="0" fillId="0" borderId="0" xfId="0" applyNumberFormat="1" applyAlignment="1">
      <alignment horizontal="center" vertical="center"/>
    </xf>
    <xf numFmtId="164" fontId="0" fillId="0" borderId="0" xfId="1" applyNumberFormat="1" applyFont="1" applyAlignment="1">
      <alignment horizontal="center" vertical="center"/>
    </xf>
    <xf numFmtId="2" fontId="7" fillId="6" borderId="1" xfId="0" applyNumberFormat="1" applyFont="1" applyFill="1" applyBorder="1" applyAlignment="1">
      <alignment horizontal="center" vertical="center"/>
    </xf>
    <xf numFmtId="1" fontId="7" fillId="6" borderId="1" xfId="0" applyNumberFormat="1" applyFont="1" applyFill="1" applyBorder="1" applyAlignment="1">
      <alignment horizontal="center" vertical="center"/>
    </xf>
    <xf numFmtId="4" fontId="7" fillId="0" borderId="1" xfId="1" applyNumberFormat="1" applyFont="1" applyBorder="1" applyAlignment="1">
      <alignment horizontal="center" vertical="center"/>
    </xf>
    <xf numFmtId="10" fontId="7" fillId="0" borderId="1" xfId="2" applyNumberFormat="1" applyFont="1" applyBorder="1" applyAlignment="1">
      <alignment horizontal="center" vertical="center"/>
    </xf>
    <xf numFmtId="2" fontId="9" fillId="3" borderId="1" xfId="0" applyNumberFormat="1" applyFont="1" applyFill="1" applyBorder="1" applyAlignment="1">
      <alignment horizontal="center" vertical="center"/>
    </xf>
    <xf numFmtId="1" fontId="9" fillId="3" borderId="1" xfId="0" applyNumberFormat="1" applyFont="1" applyFill="1" applyBorder="1" applyAlignment="1">
      <alignment horizontal="center" vertical="center"/>
    </xf>
    <xf numFmtId="4" fontId="9" fillId="0" borderId="1" xfId="1" applyNumberFormat="1" applyFont="1" applyBorder="1" applyAlignment="1">
      <alignment horizontal="center" vertical="center"/>
    </xf>
    <xf numFmtId="10" fontId="9" fillId="0" borderId="1" xfId="2" applyNumberFormat="1" applyFont="1" applyBorder="1" applyAlignment="1">
      <alignment horizontal="center" vertical="center"/>
    </xf>
    <xf numFmtId="2" fontId="9" fillId="7" borderId="1" xfId="0" applyNumberFormat="1" applyFont="1" applyFill="1" applyBorder="1" applyAlignment="1">
      <alignment horizontal="center" vertical="center"/>
    </xf>
    <xf numFmtId="1" fontId="9" fillId="7" borderId="1" xfId="0" applyNumberFormat="1" applyFont="1" applyFill="1" applyBorder="1" applyAlignment="1">
      <alignment horizontal="center" vertical="center"/>
    </xf>
    <xf numFmtId="2" fontId="7" fillId="4" borderId="1" xfId="0" applyNumberFormat="1" applyFont="1" applyFill="1" applyBorder="1" applyAlignment="1">
      <alignment horizontal="center" vertical="center"/>
    </xf>
    <xf numFmtId="1" fontId="7" fillId="4" borderId="1" xfId="0" applyNumberFormat="1" applyFont="1" applyFill="1" applyBorder="1" applyAlignment="1">
      <alignment horizontal="center" vertical="center"/>
    </xf>
    <xf numFmtId="2" fontId="9" fillId="0" borderId="0" xfId="0" applyNumberFormat="1" applyFont="1" applyAlignment="1">
      <alignment horizontal="center" vertical="center" wrapText="1"/>
    </xf>
    <xf numFmtId="2" fontId="9" fillId="0" borderId="1" xfId="0" applyNumberFormat="1" applyFont="1" applyBorder="1" applyAlignment="1">
      <alignment horizontal="center" vertical="center"/>
    </xf>
    <xf numFmtId="2" fontId="9" fillId="0" borderId="0" xfId="0" applyNumberFormat="1" applyFont="1" applyAlignment="1">
      <alignment horizontal="center" vertical="center"/>
    </xf>
    <xf numFmtId="1" fontId="9" fillId="0" borderId="1" xfId="0" applyNumberFormat="1" applyFont="1" applyBorder="1" applyAlignment="1">
      <alignment horizontal="center" vertical="center"/>
    </xf>
    <xf numFmtId="0" fontId="7" fillId="6" borderId="1" xfId="0" applyFont="1" applyFill="1" applyBorder="1" applyAlignment="1">
      <alignment horizontal="center" vertical="center" wrapText="1"/>
    </xf>
    <xf numFmtId="2" fontId="7" fillId="5"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 fontId="7" fillId="5" borderId="1" xfId="0" applyNumberFormat="1" applyFont="1" applyFill="1" applyBorder="1" applyAlignment="1">
      <alignment horizontal="center" vertical="center"/>
    </xf>
    <xf numFmtId="2" fontId="7" fillId="0" borderId="0" xfId="0" applyNumberFormat="1" applyFont="1" applyAlignment="1">
      <alignment horizontal="center" vertical="center" wrapText="1"/>
    </xf>
    <xf numFmtId="2" fontId="7" fillId="0" borderId="0" xfId="0" applyNumberFormat="1" applyFont="1" applyAlignment="1">
      <alignment horizontal="center" vertical="center"/>
    </xf>
    <xf numFmtId="2" fontId="7" fillId="0" borderId="1" xfId="0" applyNumberFormat="1" applyFont="1" applyBorder="1" applyAlignment="1">
      <alignment horizontal="center" vertical="center" wrapText="1"/>
    </xf>
    <xf numFmtId="2" fontId="7" fillId="5" borderId="1" xfId="0" quotePrefix="1" applyNumberFormat="1" applyFont="1" applyFill="1" applyBorder="1" applyAlignment="1">
      <alignment horizontal="center" vertical="center"/>
    </xf>
    <xf numFmtId="2" fontId="9" fillId="4" borderId="1" xfId="0" applyNumberFormat="1" applyFont="1" applyFill="1" applyBorder="1" applyAlignment="1">
      <alignment horizontal="center" vertical="center"/>
    </xf>
    <xf numFmtId="1" fontId="9" fillId="4" borderId="1" xfId="0" applyNumberFormat="1" applyFont="1" applyFill="1" applyBorder="1" applyAlignment="1">
      <alignment horizontal="center" vertical="center"/>
    </xf>
    <xf numFmtId="2" fontId="0" fillId="0" borderId="2" xfId="0" applyNumberFormat="1" applyBorder="1" applyAlignment="1">
      <alignment vertical="center" wrapText="1"/>
    </xf>
    <xf numFmtId="2" fontId="2" fillId="0" borderId="0" xfId="0" applyNumberFormat="1" applyFont="1" applyAlignment="1">
      <alignment horizontal="center" vertical="center" wrapText="1"/>
    </xf>
    <xf numFmtId="2" fontId="4" fillId="0" borderId="1" xfId="0" applyNumberFormat="1" applyFont="1" applyBorder="1" applyAlignment="1">
      <alignment horizontal="center" vertical="center"/>
    </xf>
    <xf numFmtId="4" fontId="9" fillId="0" borderId="1" xfId="1" applyNumberFormat="1" applyFont="1" applyFill="1" applyBorder="1" applyAlignment="1">
      <alignment horizontal="center" vertical="center"/>
    </xf>
    <xf numFmtId="10" fontId="9" fillId="0" borderId="1" xfId="2" applyNumberFormat="1" applyFont="1" applyFill="1" applyBorder="1" applyAlignment="1">
      <alignment horizontal="center" vertical="center"/>
    </xf>
    <xf numFmtId="167" fontId="9" fillId="0" borderId="1" xfId="0" applyNumberFormat="1" applyFont="1" applyBorder="1" applyAlignment="1">
      <alignment horizontal="center" vertical="center"/>
    </xf>
    <xf numFmtId="4" fontId="0" fillId="0" borderId="4" xfId="1" applyNumberFormat="1" applyFont="1" applyBorder="1" applyAlignment="1">
      <alignment horizontal="center" vertical="center"/>
    </xf>
    <xf numFmtId="10" fontId="0" fillId="0" borderId="4" xfId="2" applyNumberFormat="1" applyFont="1" applyBorder="1" applyAlignment="1">
      <alignment horizontal="center" vertical="center"/>
    </xf>
    <xf numFmtId="165" fontId="0" fillId="0" borderId="1" xfId="0" applyNumberFormat="1" applyBorder="1" applyAlignment="1">
      <alignment horizontal="center" vertical="center"/>
    </xf>
    <xf numFmtId="165" fontId="0" fillId="6" borderId="1" xfId="0" applyNumberFormat="1" applyFill="1" applyBorder="1" applyAlignment="1">
      <alignment horizontal="center" vertical="center"/>
    </xf>
    <xf numFmtId="2" fontId="0" fillId="6" borderId="1" xfId="0" quotePrefix="1" applyNumberFormat="1" applyFill="1" applyBorder="1" applyAlignment="1">
      <alignment horizontal="center" vertical="center"/>
    </xf>
    <xf numFmtId="2" fontId="3"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xf>
    <xf numFmtId="2" fontId="9" fillId="0" borderId="1" xfId="0" quotePrefix="1" applyNumberFormat="1" applyFont="1" applyBorder="1" applyAlignment="1">
      <alignment horizontal="center" vertical="center"/>
    </xf>
    <xf numFmtId="2" fontId="9" fillId="4" borderId="1" xfId="0" quotePrefix="1" applyNumberFormat="1" applyFont="1" applyFill="1" applyBorder="1" applyAlignment="1">
      <alignment horizontal="center" vertical="center"/>
    </xf>
    <xf numFmtId="2" fontId="9" fillId="3" borderId="1" xfId="0" quotePrefix="1" applyNumberFormat="1" applyFont="1" applyFill="1" applyBorder="1" applyAlignment="1">
      <alignment horizontal="center" vertical="center"/>
    </xf>
    <xf numFmtId="2" fontId="0" fillId="10"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168" fontId="0" fillId="0" borderId="0" xfId="0" applyNumberFormat="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2" fontId="0" fillId="4" borderId="4" xfId="0" applyNumberFormat="1" applyFill="1" applyBorder="1" applyAlignment="1">
      <alignment horizontal="center" vertical="center"/>
    </xf>
    <xf numFmtId="1" fontId="0" fillId="4" borderId="4" xfId="0" applyNumberFormat="1" applyFill="1" applyBorder="1" applyAlignment="1">
      <alignment horizontal="center" vertical="center"/>
    </xf>
    <xf numFmtId="2" fontId="0" fillId="7" borderId="4" xfId="0" applyNumberFormat="1" applyFill="1" applyBorder="1" applyAlignment="1">
      <alignment horizontal="center" vertical="center"/>
    </xf>
    <xf numFmtId="1" fontId="0" fillId="7" borderId="4" xfId="0" applyNumberFormat="1" applyFill="1" applyBorder="1" applyAlignment="1">
      <alignment horizontal="center" vertical="center"/>
    </xf>
    <xf numFmtId="2" fontId="9" fillId="4" borderId="4" xfId="0" applyNumberFormat="1" applyFont="1" applyFill="1" applyBorder="1" applyAlignment="1">
      <alignment horizontal="center" vertical="center"/>
    </xf>
    <xf numFmtId="1" fontId="9" fillId="4" borderId="4" xfId="0" applyNumberFormat="1" applyFont="1" applyFill="1" applyBorder="1" applyAlignment="1">
      <alignment horizontal="center" vertical="center"/>
    </xf>
    <xf numFmtId="169" fontId="0" fillId="0" borderId="1" xfId="0" applyNumberFormat="1" applyBorder="1" applyAlignment="1">
      <alignment horizontal="center" vertical="center"/>
    </xf>
    <xf numFmtId="2" fontId="9" fillId="7" borderId="4" xfId="0" applyNumberFormat="1" applyFont="1" applyFill="1" applyBorder="1" applyAlignment="1">
      <alignment horizontal="center" vertical="center"/>
    </xf>
    <xf numFmtId="1" fontId="9" fillId="7" borderId="4" xfId="0" applyNumberFormat="1" applyFont="1" applyFill="1" applyBorder="1" applyAlignment="1">
      <alignment horizontal="center" vertical="center"/>
    </xf>
    <xf numFmtId="2" fontId="9" fillId="10" borderId="1" xfId="0" applyNumberFormat="1" applyFont="1" applyFill="1" applyBorder="1" applyAlignment="1">
      <alignment horizontal="center" vertical="center"/>
    </xf>
    <xf numFmtId="1" fontId="9" fillId="10" borderId="1" xfId="0" applyNumberFormat="1" applyFont="1" applyFill="1" applyBorder="1" applyAlignment="1">
      <alignment horizontal="center" vertical="center"/>
    </xf>
    <xf numFmtId="2" fontId="0" fillId="0" borderId="1" xfId="0" applyNumberFormat="1" applyBorder="1" applyAlignment="1">
      <alignment horizontal="center" vertical="center" wrapText="1"/>
    </xf>
    <xf numFmtId="2" fontId="9" fillId="0" borderId="5" xfId="0" applyNumberFormat="1" applyFont="1" applyBorder="1" applyAlignment="1">
      <alignment horizontal="center" vertical="center"/>
    </xf>
    <xf numFmtId="2" fontId="9" fillId="0" borderId="4" xfId="0" applyNumberFormat="1" applyFont="1" applyBorder="1" applyAlignment="1">
      <alignment horizontal="center" vertical="center"/>
    </xf>
    <xf numFmtId="1" fontId="9" fillId="0" borderId="4" xfId="0" applyNumberFormat="1" applyFont="1" applyBorder="1" applyAlignment="1">
      <alignment horizontal="center" vertical="center"/>
    </xf>
    <xf numFmtId="2" fontId="0" fillId="14" borderId="1" xfId="0" applyNumberFormat="1" applyFill="1" applyBorder="1" applyAlignment="1">
      <alignment horizontal="center" vertical="center"/>
    </xf>
    <xf numFmtId="1" fontId="0" fillId="14" borderId="1" xfId="0" applyNumberFormat="1" applyFill="1" applyBorder="1" applyAlignment="1">
      <alignment horizontal="center" vertical="center"/>
    </xf>
    <xf numFmtId="4" fontId="0" fillId="14" borderId="1" xfId="1" applyNumberFormat="1" applyFont="1" applyFill="1" applyBorder="1" applyAlignment="1">
      <alignment horizontal="center" vertical="center"/>
    </xf>
    <xf numFmtId="10" fontId="0" fillId="14" borderId="1" xfId="2" applyNumberFormat="1" applyFont="1" applyFill="1" applyBorder="1" applyAlignment="1">
      <alignment horizontal="center" vertical="center"/>
    </xf>
    <xf numFmtId="2" fontId="0" fillId="10" borderId="1" xfId="0" quotePrefix="1" applyNumberFormat="1" applyFill="1" applyBorder="1" applyAlignment="1">
      <alignment horizontal="center" vertical="center"/>
    </xf>
    <xf numFmtId="2" fontId="13" fillId="0" borderId="1" xfId="0" applyNumberFormat="1" applyFont="1" applyBorder="1" applyAlignment="1">
      <alignment horizontal="center" vertical="center"/>
    </xf>
    <xf numFmtId="2" fontId="13" fillId="0" borderId="1" xfId="0" quotePrefix="1" applyNumberFormat="1" applyFont="1" applyBorder="1" applyAlignment="1">
      <alignment horizontal="center" vertical="center"/>
    </xf>
    <xf numFmtId="2" fontId="9" fillId="10" borderId="1" xfId="0" quotePrefix="1" applyNumberFormat="1" applyFont="1" applyFill="1" applyBorder="1" applyAlignment="1">
      <alignment horizontal="center" vertical="center"/>
    </xf>
    <xf numFmtId="170" fontId="9" fillId="0" borderId="1" xfId="0" applyNumberFormat="1" applyFont="1" applyBorder="1" applyAlignment="1">
      <alignment horizontal="center" vertical="center"/>
    </xf>
    <xf numFmtId="4" fontId="13" fillId="0" borderId="1" xfId="1" applyNumberFormat="1" applyFont="1" applyBorder="1" applyAlignment="1">
      <alignment horizontal="center" vertical="center"/>
    </xf>
    <xf numFmtId="10" fontId="13" fillId="0" borderId="1" xfId="2" applyNumberFormat="1" applyFont="1" applyBorder="1" applyAlignment="1">
      <alignment horizontal="center" vertical="center"/>
    </xf>
    <xf numFmtId="1" fontId="13" fillId="0" borderId="1" xfId="0" applyNumberFormat="1" applyFont="1" applyBorder="1" applyAlignment="1">
      <alignment horizontal="center" vertical="center"/>
    </xf>
    <xf numFmtId="2" fontId="9" fillId="3" borderId="4" xfId="0" applyNumberFormat="1" applyFont="1" applyFill="1" applyBorder="1" applyAlignment="1">
      <alignment horizontal="center" vertical="center"/>
    </xf>
    <xf numFmtId="2"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2" fontId="0" fillId="0" borderId="5" xfId="0" applyNumberFormat="1" applyBorder="1" applyAlignment="1">
      <alignment horizontal="center" vertical="center"/>
    </xf>
    <xf numFmtId="2" fontId="13" fillId="4" borderId="1" xfId="0" quotePrefix="1" applyNumberFormat="1" applyFont="1" applyFill="1" applyBorder="1" applyAlignment="1">
      <alignment horizontal="center" vertical="center"/>
    </xf>
    <xf numFmtId="2" fontId="13" fillId="4" borderId="1" xfId="0" applyNumberFormat="1" applyFont="1" applyFill="1" applyBorder="1" applyAlignment="1">
      <alignment horizontal="center" vertical="center"/>
    </xf>
    <xf numFmtId="1" fontId="13" fillId="4" borderId="1" xfId="0" applyNumberFormat="1" applyFont="1" applyFill="1" applyBorder="1" applyAlignment="1">
      <alignment horizontal="center" vertical="center"/>
    </xf>
    <xf numFmtId="2" fontId="0" fillId="3" borderId="4" xfId="0" applyNumberFormat="1" applyFill="1" applyBorder="1" applyAlignment="1">
      <alignment horizontal="center" vertical="center"/>
    </xf>
    <xf numFmtId="165" fontId="0" fillId="14" borderId="1" xfId="0" applyNumberFormat="1" applyFill="1" applyBorder="1" applyAlignment="1">
      <alignment horizontal="center" vertical="center"/>
    </xf>
    <xf numFmtId="164" fontId="2" fillId="2" borderId="0" xfId="1" applyNumberFormat="1" applyFont="1" applyFill="1" applyBorder="1" applyAlignment="1">
      <alignment horizontal="center" vertical="center"/>
    </xf>
    <xf numFmtId="10" fontId="9" fillId="0" borderId="0" xfId="2" applyNumberFormat="1" applyFont="1" applyBorder="1" applyAlignment="1">
      <alignment horizontal="center" vertical="center"/>
    </xf>
    <xf numFmtId="10" fontId="0" fillId="6" borderId="0" xfId="2" applyNumberFormat="1" applyFont="1" applyFill="1" applyBorder="1" applyAlignment="1">
      <alignment horizontal="center" vertical="center"/>
    </xf>
    <xf numFmtId="10" fontId="7" fillId="0" borderId="0" xfId="2" applyNumberFormat="1" applyFont="1" applyBorder="1" applyAlignment="1">
      <alignment horizontal="center" vertical="center"/>
    </xf>
    <xf numFmtId="10" fontId="9" fillId="0" borderId="0" xfId="2" applyNumberFormat="1" applyFont="1" applyFill="1" applyBorder="1" applyAlignment="1">
      <alignment horizontal="center" vertical="center"/>
    </xf>
    <xf numFmtId="10" fontId="13" fillId="0" borderId="0" xfId="2" applyNumberFormat="1" applyFont="1" applyBorder="1" applyAlignment="1">
      <alignment horizontal="center" vertical="center"/>
    </xf>
    <xf numFmtId="171" fontId="0" fillId="0" borderId="0" xfId="0" applyNumberFormat="1" applyAlignment="1">
      <alignment horizontal="center" vertical="center"/>
    </xf>
    <xf numFmtId="2" fontId="8" fillId="4" borderId="1" xfId="0" applyNumberFormat="1" applyFont="1" applyFill="1" applyBorder="1" applyAlignment="1">
      <alignment horizontal="center" vertical="center"/>
    </xf>
    <xf numFmtId="1" fontId="8" fillId="4" borderId="1" xfId="0" applyNumberFormat="1" applyFont="1" applyFill="1" applyBorder="1" applyAlignment="1">
      <alignment horizontal="center" vertical="center"/>
    </xf>
    <xf numFmtId="2" fontId="8" fillId="4" borderId="4" xfId="0" applyNumberFormat="1" applyFont="1" applyFill="1" applyBorder="1" applyAlignment="1">
      <alignment horizontal="center" vertical="center"/>
    </xf>
    <xf numFmtId="1" fontId="8" fillId="4" borderId="4" xfId="0" applyNumberFormat="1" applyFont="1" applyFill="1" applyBorder="1" applyAlignment="1">
      <alignment horizontal="center" vertical="center"/>
    </xf>
    <xf numFmtId="2" fontId="9" fillId="4" borderId="5" xfId="0" applyNumberFormat="1" applyFont="1" applyFill="1" applyBorder="1" applyAlignment="1">
      <alignment horizontal="center" vertical="center"/>
    </xf>
    <xf numFmtId="1" fontId="9" fillId="4" borderId="5" xfId="0" applyNumberFormat="1" applyFont="1" applyFill="1" applyBorder="1" applyAlignment="1">
      <alignment horizontal="center" vertical="center"/>
    </xf>
    <xf numFmtId="2" fontId="4" fillId="5" borderId="2" xfId="0" applyNumberFormat="1" applyFont="1" applyFill="1" applyBorder="1" applyAlignment="1">
      <alignment horizontal="center" vertical="center" wrapText="1"/>
    </xf>
    <xf numFmtId="2" fontId="4" fillId="5" borderId="3" xfId="0" applyNumberFormat="1"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2" fontId="10" fillId="6" borderId="1" xfId="0" applyNumberFormat="1" applyFont="1" applyFill="1" applyBorder="1" applyAlignment="1">
      <alignment horizontal="center" vertical="center" wrapText="1"/>
    </xf>
    <xf numFmtId="2" fontId="2" fillId="9" borderId="4" xfId="0" applyNumberFormat="1" applyFont="1" applyFill="1" applyBorder="1" applyAlignment="1">
      <alignment horizontal="center" vertical="center" wrapText="1"/>
    </xf>
    <xf numFmtId="2" fontId="2" fillId="9" borderId="5" xfId="0" applyNumberFormat="1" applyFont="1" applyFill="1" applyBorder="1" applyAlignment="1">
      <alignment horizontal="center" vertical="center" wrapText="1"/>
    </xf>
    <xf numFmtId="2" fontId="2" fillId="11" borderId="2" xfId="0" applyNumberFormat="1" applyFont="1" applyFill="1" applyBorder="1" applyAlignment="1">
      <alignment horizontal="center" vertical="center" wrapText="1"/>
    </xf>
    <xf numFmtId="2" fontId="2" fillId="11" borderId="3"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2" fontId="4" fillId="5" borderId="4" xfId="0" applyNumberFormat="1" applyFont="1" applyFill="1" applyBorder="1" applyAlignment="1">
      <alignment horizontal="center" vertical="center" wrapText="1"/>
    </xf>
    <xf numFmtId="2" fontId="4" fillId="5" borderId="5" xfId="0" applyNumberFormat="1" applyFont="1" applyFill="1" applyBorder="1" applyAlignment="1">
      <alignment horizontal="center" vertical="center" wrapText="1"/>
    </xf>
    <xf numFmtId="2" fontId="4" fillId="6" borderId="4" xfId="0" applyNumberFormat="1" applyFont="1" applyFill="1" applyBorder="1" applyAlignment="1">
      <alignment horizontal="center" vertical="center"/>
    </xf>
    <xf numFmtId="2" fontId="4" fillId="6" borderId="5" xfId="0" applyNumberFormat="1" applyFont="1" applyFill="1" applyBorder="1" applyAlignment="1">
      <alignment horizontal="center" vertical="center"/>
    </xf>
    <xf numFmtId="2" fontId="4" fillId="0" borderId="4"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4" xfId="0" applyNumberFormat="1" applyFont="1" applyBorder="1" applyAlignment="1">
      <alignment horizontal="center" vertical="center" wrapText="1"/>
    </xf>
    <xf numFmtId="2" fontId="4" fillId="5" borderId="4"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2" fontId="2" fillId="13" borderId="1" xfId="0" applyNumberFormat="1" applyFont="1" applyFill="1" applyBorder="1" applyAlignment="1">
      <alignment horizontal="center" vertical="center" wrapText="1"/>
    </xf>
    <xf numFmtId="2" fontId="9" fillId="0" borderId="2" xfId="0" applyNumberFormat="1" applyFont="1" applyBorder="1" applyAlignment="1">
      <alignment horizontal="center" vertical="center" wrapText="1"/>
    </xf>
    <xf numFmtId="2" fontId="9" fillId="5" borderId="2" xfId="0" applyNumberFormat="1" applyFont="1" applyFill="1" applyBorder="1" applyAlignment="1">
      <alignment horizontal="center" vertical="center" wrapText="1"/>
    </xf>
    <xf numFmtId="2" fontId="0" fillId="8" borderId="1" xfId="0" applyNumberFormat="1" applyFill="1" applyBorder="1" applyAlignment="1">
      <alignment horizontal="center" vertical="center" wrapText="1"/>
    </xf>
    <xf numFmtId="2" fontId="9" fillId="3" borderId="1" xfId="0" applyNumberFormat="1" applyFont="1" applyFill="1" applyBorder="1" applyAlignment="1">
      <alignment horizontal="center" vertical="center" wrapText="1"/>
    </xf>
    <xf numFmtId="2" fontId="0" fillId="8" borderId="2" xfId="0" applyNumberFormat="1" applyFill="1" applyBorder="1" applyAlignment="1">
      <alignment horizontal="center" vertical="center" wrapText="1"/>
    </xf>
    <xf numFmtId="2" fontId="8" fillId="9" borderId="4" xfId="0" applyNumberFormat="1" applyFont="1" applyFill="1" applyBorder="1" applyAlignment="1">
      <alignment horizontal="center" vertical="center" wrapText="1"/>
    </xf>
    <xf numFmtId="2" fontId="8" fillId="9" borderId="5" xfId="0" applyNumberFormat="1" applyFont="1" applyFill="1" applyBorder="1" applyAlignment="1">
      <alignment horizontal="center" vertical="center" wrapText="1"/>
    </xf>
    <xf numFmtId="2" fontId="9" fillId="6" borderId="1" xfId="0" applyNumberFormat="1" applyFont="1" applyFill="1" applyBorder="1" applyAlignment="1">
      <alignment horizontal="center" vertical="center" wrapText="1"/>
    </xf>
    <xf numFmtId="2" fontId="0" fillId="0" borderId="4" xfId="0" applyNumberFormat="1" applyBorder="1" applyAlignment="1">
      <alignment horizontal="center" vertical="center" wrapText="1"/>
    </xf>
    <xf numFmtId="2" fontId="0" fillId="0" borderId="5" xfId="0" applyNumberFormat="1" applyBorder="1" applyAlignment="1">
      <alignment horizontal="center" vertical="center" wrapText="1"/>
    </xf>
    <xf numFmtId="2" fontId="9" fillId="0" borderId="4" xfId="0" applyNumberFormat="1" applyFont="1" applyBorder="1" applyAlignment="1">
      <alignment horizontal="center" vertical="center" wrapText="1"/>
    </xf>
    <xf numFmtId="2" fontId="9" fillId="0" borderId="5" xfId="0" applyNumberFormat="1" applyFont="1" applyBorder="1" applyAlignment="1">
      <alignment horizontal="center" vertical="center" wrapText="1"/>
    </xf>
    <xf numFmtId="2" fontId="0" fillId="5" borderId="2"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9" fillId="5" borderId="1" xfId="0" applyNumberFormat="1" applyFont="1" applyFill="1" applyBorder="1" applyAlignment="1">
      <alignment horizontal="center" vertical="center" wrapText="1"/>
    </xf>
    <xf numFmtId="2" fontId="0" fillId="3" borderId="1" xfId="0" applyNumberFormat="1" applyFill="1" applyBorder="1" applyAlignment="1">
      <alignment horizontal="center" vertical="center" wrapText="1"/>
    </xf>
    <xf numFmtId="2" fontId="0" fillId="0" borderId="6" xfId="0" applyNumberFormat="1" applyBorder="1" applyAlignment="1">
      <alignment horizontal="center" vertical="center" wrapText="1"/>
    </xf>
    <xf numFmtId="2" fontId="0" fillId="0" borderId="2" xfId="0" applyNumberFormat="1" applyBorder="1" applyAlignment="1">
      <alignment horizontal="center" vertical="center" wrapText="1"/>
    </xf>
    <xf numFmtId="2" fontId="0" fillId="0" borderId="1" xfId="0" applyNumberFormat="1" applyBorder="1" applyAlignment="1">
      <alignment horizontal="center" vertical="center" wrapText="1"/>
    </xf>
    <xf numFmtId="2" fontId="9" fillId="0" borderId="4" xfId="0" applyNumberFormat="1" applyFont="1" applyBorder="1" applyAlignment="1">
      <alignment horizontal="center" vertical="center"/>
    </xf>
    <xf numFmtId="2" fontId="9" fillId="0" borderId="5" xfId="0" applyNumberFormat="1" applyFont="1" applyBorder="1" applyAlignment="1">
      <alignment horizontal="center" vertical="center"/>
    </xf>
    <xf numFmtId="2" fontId="7" fillId="0" borderId="4"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2" fontId="8" fillId="7" borderId="1" xfId="0" applyNumberFormat="1" applyFont="1" applyFill="1" applyBorder="1" applyAlignment="1">
      <alignment horizontal="center" vertical="center" wrapText="1"/>
    </xf>
    <xf numFmtId="2" fontId="9" fillId="0" borderId="3"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2" fontId="8" fillId="3" borderId="1" xfId="0" applyNumberFormat="1" applyFont="1" applyFill="1" applyBorder="1" applyAlignment="1">
      <alignment horizontal="center" vertical="center" wrapText="1"/>
    </xf>
    <xf numFmtId="2" fontId="2" fillId="12" borderId="1" xfId="0" applyNumberFormat="1" applyFont="1" applyFill="1" applyBorder="1" applyAlignment="1">
      <alignment horizontal="center" vertical="center" wrapText="1"/>
    </xf>
    <xf numFmtId="2" fontId="12" fillId="12" borderId="1" xfId="0" applyNumberFormat="1"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2" fontId="0" fillId="3" borderId="4" xfId="0" applyNumberFormat="1" applyFill="1" applyBorder="1" applyAlignment="1">
      <alignment horizontal="center" vertical="center" wrapText="1"/>
    </xf>
    <xf numFmtId="2" fontId="0" fillId="3" borderId="5"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2" fontId="0" fillId="5" borderId="5" xfId="0" applyNumberFormat="1" applyFill="1" applyBorder="1" applyAlignment="1">
      <alignment horizontal="center" vertical="center" wrapText="1"/>
    </xf>
    <xf numFmtId="2" fontId="6" fillId="4" borderId="1" xfId="0" applyNumberFormat="1" applyFont="1" applyFill="1" applyBorder="1" applyAlignment="1">
      <alignment horizontal="center" vertical="center" wrapText="1"/>
    </xf>
    <xf numFmtId="2" fontId="7" fillId="6" borderId="1" xfId="0" applyNumberFormat="1" applyFont="1" applyFill="1" applyBorder="1" applyAlignment="1">
      <alignment horizontal="center" vertical="center" wrapText="1"/>
    </xf>
    <xf numFmtId="2" fontId="0" fillId="5" borderId="1" xfId="0" applyNumberFormat="1" applyFill="1" applyBorder="1" applyAlignment="1">
      <alignment horizontal="center" vertical="center" wrapText="1"/>
    </xf>
    <xf numFmtId="2" fontId="10" fillId="0" borderId="2" xfId="0" applyNumberFormat="1" applyFont="1" applyBorder="1" applyAlignment="1">
      <alignment horizontal="center" vertical="center" wrapText="1"/>
    </xf>
    <xf numFmtId="2" fontId="10" fillId="0" borderId="3"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2" fontId="4" fillId="3" borderId="2" xfId="0" applyNumberFormat="1" applyFont="1" applyFill="1" applyBorder="1" applyAlignment="1">
      <alignment horizontal="center" vertical="center" wrapText="1"/>
    </xf>
    <xf numFmtId="2" fontId="4" fillId="3" borderId="3" xfId="0" applyNumberFormat="1" applyFont="1" applyFill="1" applyBorder="1" applyAlignment="1">
      <alignment horizontal="center" vertical="center" wrapText="1"/>
    </xf>
    <xf numFmtId="2" fontId="4" fillId="0" borderId="2" xfId="0" applyNumberFormat="1" applyFont="1" applyBorder="1" applyAlignment="1">
      <alignment horizontal="center" vertical="center" wrapText="1"/>
    </xf>
    <xf numFmtId="2" fontId="8" fillId="0" borderId="4" xfId="0" applyNumberFormat="1" applyFont="1" applyBorder="1" applyAlignment="1">
      <alignment horizontal="center" vertical="center"/>
    </xf>
    <xf numFmtId="2" fontId="8" fillId="0" borderId="5" xfId="0" applyNumberFormat="1" applyFont="1" applyBorder="1" applyAlignment="1">
      <alignment horizontal="center" vertical="center"/>
    </xf>
    <xf numFmtId="2" fontId="8" fillId="5" borderId="2" xfId="0" applyNumberFormat="1" applyFont="1" applyFill="1" applyBorder="1" applyAlignment="1">
      <alignment horizontal="center" vertical="center" wrapText="1"/>
    </xf>
    <xf numFmtId="2" fontId="8" fillId="5" borderId="3" xfId="0" applyNumberFormat="1" applyFont="1" applyFill="1" applyBorder="1" applyAlignment="1">
      <alignment horizontal="center" vertical="center" wrapText="1"/>
    </xf>
    <xf numFmtId="2" fontId="8" fillId="0" borderId="1" xfId="0" applyNumberFormat="1" applyFont="1" applyBorder="1" applyAlignment="1">
      <alignment horizontal="center" vertical="center" wrapText="1"/>
    </xf>
    <xf numFmtId="2" fontId="4" fillId="5" borderId="6" xfId="0" applyNumberFormat="1" applyFont="1" applyFill="1" applyBorder="1" applyAlignment="1">
      <alignment horizontal="center" vertical="center" wrapText="1"/>
    </xf>
    <xf numFmtId="2" fontId="4" fillId="14" borderId="4" xfId="0" applyNumberFormat="1" applyFont="1" applyFill="1" applyBorder="1" applyAlignment="1">
      <alignment horizontal="center" vertical="center"/>
    </xf>
    <xf numFmtId="2" fontId="4" fillId="14" borderId="5" xfId="0" applyNumberFormat="1" applyFont="1" applyFill="1" applyBorder="1" applyAlignment="1">
      <alignment horizontal="center" vertical="center"/>
    </xf>
  </cellXfs>
  <cellStyles count="5">
    <cellStyle name="Currency" xfId="1" builtinId="4"/>
    <cellStyle name="Normal" xfId="0" builtinId="0"/>
    <cellStyle name="Normal 2" xfId="3" xr:uid="{8BF58D45-6CC8-4A3A-8D7B-E3E758B5BC7C}"/>
    <cellStyle name="Normal 3" xfId="4" xr:uid="{53590949-50F7-46F0-AD03-5E851C6CFA14}"/>
    <cellStyle name="Percent" xfId="2" builtinId="5"/>
  </cellStyles>
  <dxfs count="133">
    <dxf>
      <font>
        <b/>
        <i val="0"/>
        <color theme="1"/>
      </font>
      <fill>
        <patternFill>
          <bgColor rgb="FF66FF66"/>
        </patternFill>
      </fill>
    </dxf>
    <dxf>
      <font>
        <b/>
        <i/>
        <color rgb="FFFF0000"/>
      </font>
    </dxf>
    <dxf>
      <font>
        <b/>
        <i/>
        <color rgb="FFFF0000"/>
      </font>
    </dxf>
    <dxf>
      <font>
        <b/>
        <i val="0"/>
        <color theme="1"/>
      </font>
      <fill>
        <patternFill>
          <bgColor rgb="FF66FF66"/>
        </patternFill>
      </fill>
    </dxf>
    <dxf>
      <font>
        <b/>
        <i val="0"/>
        <color theme="1"/>
      </font>
      <fill>
        <patternFill>
          <bgColor rgb="FF66FF66"/>
        </patternFill>
      </fill>
    </dxf>
    <dxf>
      <font>
        <b/>
        <i/>
        <color rgb="FFFF0000"/>
      </font>
    </dxf>
    <dxf>
      <font>
        <b/>
        <i val="0"/>
        <color theme="1"/>
      </font>
      <fill>
        <patternFill>
          <bgColor rgb="FF66FF66"/>
        </patternFill>
      </fill>
    </dxf>
    <dxf>
      <font>
        <b/>
        <i/>
        <color rgb="FFFF0000"/>
      </font>
    </dxf>
    <dxf>
      <font>
        <b/>
        <i/>
        <color rgb="FFFF0000"/>
      </font>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color rgb="FFFF0000"/>
      </font>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66FF66"/>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00FF00"/>
        </patternFill>
      </fill>
    </dxf>
  </dxfs>
  <tableStyles count="0" defaultTableStyle="TableStyleMedium2" defaultPivotStyle="PivotStyleLight16"/>
  <colors>
    <mruColors>
      <color rgb="FFFF00FF"/>
      <color rgb="FF00FFFF"/>
      <color rgb="FFFF99FF"/>
      <color rgb="FFFFCC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persons/person.xml><?xml version="1.0" encoding="utf-8"?>
<personList xmlns="http://schemas.microsoft.com/office/spreadsheetml/2018/threadedcomments" xmlns:x="http://schemas.openxmlformats.org/spreadsheetml/2006/main">
  <person displayName="Gaboch" id="{6BAC4E66-70CA-4DDB-9E9E-64702C3D6B4A}" userId="Gaboch" providerId="None"/>
  <person displayName="Gabriel" id="{BAB782C2-6B1C-440A-AFAA-B6DBD248C527}" userId="Gabriel" providerId="Non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0"/>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61">
  <rv s="0">
    <v>https://www.bing.com/financeapi/forcetrigger?t=a1o4mw&amp;q=XNYS%3aBABA&amp;form=skydnc</v>
    <v>Learn more on Bing</v>
  </rv>
  <rv s="1">
    <v>en-CA</v>
    <v>a1o4mw</v>
    <v>268435456</v>
    <v>1</v>
    <v>Powered by Refinitiv</v>
    <v>0</v>
    <v>Alibaba Group Holding Limited (XNYS:BABA)</v>
    <v>2</v>
    <v>3</v>
    <v>Finance</v>
    <v>4</v>
    <v>192.67</v>
    <v>94.974199999999996</v>
    <v>0.4526</v>
    <v>0.67</v>
    <v>5.1400000000000005E-3</v>
    <v>USD</v>
    <v>Alibaba Group Holding Ltd is an investment holding company mainly engaged in the provision of technology infrastructure and marketing platforms. The Company operates its business through nine segments. The China Commerce Retail segment is engaged in the China commerce retail business. The China Commerce Wholesale segment is mainly engaged in the operation of 1688.com. The Cloud Intelligence segment provides cloud services. The International Commerce Retail segment provides customer management services, sales of goods and logistics services. The International Commerce Wholesale segment is mainly engaged in the operation of Alibaba.com. The Cainiao Represents Logistics Services segment provides fulfilment services. The Local Services segment’s revenue includes platform commissions, logistics services revenue. The Digital Media and Entertainment segment engages in the operation of Youku and Alibaba. The All Others segment is mainly engaged in the Sun Art, Freshippo and other business.</v>
    <v>126661</v>
    <v>New York Stock Exchange</v>
    <v>XNYS</v>
    <v>XNYS</v>
    <v>26/F, Tower One, Times Square, 1 Matheson Street, Causeway Bay HK</v>
    <v>132.43</v>
    <v>Software &amp; IT Services</v>
    <v>Stock</v>
    <v>46087.872616573441</v>
    <v>0</v>
    <v>128.80000000000001</v>
    <v>312798851260</v>
    <v>Alibaba Group Holding Limited</v>
    <v>Alibaba Group Holding Limited</v>
    <v>129.37</v>
    <v>17.819099999999999</v>
    <v>130.35</v>
    <v>131.02000000000001</v>
    <v>2387413000</v>
    <v>BABA</v>
    <v>Alibaba Group Holding Limited (XNYS:BABA)</v>
    <v>10211676</v>
    <v>10180695</v>
    <v>1999</v>
  </rv>
  <rv s="2">
    <v>1</v>
  </rv>
  <rv s="0">
    <v>https://www.bing.com/financeapi/forcetrigger?t=bjkr8m&amp;q=XNAS%3aBNGO&amp;form=skydnc</v>
    <v>Learn more on Bing</v>
  </rv>
  <rv s="1">
    <v>en-CA</v>
    <v>bjkr8m</v>
    <v>268435456</v>
    <v>1</v>
    <v>Powered by Refinitiv</v>
    <v>0</v>
    <v>BIONANO GENOMICS, INC. (XNAS:BNGO)</v>
    <v>2</v>
    <v>3</v>
    <v>Finance</v>
    <v>4</v>
    <v>5.5</v>
    <v>1.06</v>
    <v>1.7001999999999999</v>
    <v>-1.9300000000000001E-2</v>
    <v>-1.7079999999999998E-2</v>
    <v>USD</v>
    <v>Bionano Genomics, Inc. is a provider of genome analysis solutions that can enable researchers and clinicians to reveal answers to challenging questions in biology and medicine. The Company offers optical genome mapping (OGM) solutions for applications across basic, translational and clinical research. It also offers a platform-agnostic software solution, which integrates sequencing and microarray data designed to provide analysis, visualization, interpretation and reporting of copy number variants, single-nucleotide variants, and absence of heterozygosity across the genome in one consolidated view. The Company additionally offers nucleic acid extraction and purification solutions using proprietary isotachophoresis (ITP) technology. The Company markets and sells OGM systems, including the Saphyr system, which delivers OGM data to enable ultra-sensitive and ultra-specific detection of all classes of structural variation (SV).</v>
    <v>98</v>
    <v>Nasdaq Stock Market</v>
    <v>XNAS</v>
    <v>XNAS</v>
    <v>9540 Towne Centre Drive, Suite 100, SAN DIEGO, CA, 92121 US</v>
    <v>1.1200000000000001</v>
    <v>Healthcare Equipment &amp; Supplies</v>
    <v>Stock</v>
    <v>46087.871564513283</v>
    <v>3</v>
    <v>1.085</v>
    <v>11302483</v>
    <v>BIONANO GENOMICS, INC.</v>
    <v>BIONANO GENOMICS, INC.</v>
    <v>1.1100000000000001</v>
    <v>0</v>
    <v>1.1299999999999999</v>
    <v>1.1107</v>
    <v>10176000</v>
    <v>BNGO</v>
    <v>BIONANO GENOMICS, INC. (XNAS:BNGO)</v>
    <v>132829</v>
    <v>208353</v>
    <v>2003</v>
  </rv>
  <rv s="2">
    <v>4</v>
  </rv>
  <rv s="0">
    <v>https://www.bing.com/financeapi/forcetrigger?t=a1xh5r&amp;q=XNAS%3aMEIP&amp;form=skydnc</v>
    <v>Learn more on Bing</v>
  </rv>
  <rv s="1">
    <v>en-CA</v>
    <v>a1xh5r</v>
    <v>268435456</v>
    <v>1</v>
    <v>Powered by Refinitiv</v>
    <v>0</v>
    <v>LITE STRATEGY, INC. (XNAS:LITS)</v>
    <v>2</v>
    <v>3</v>
    <v>Finance</v>
    <v>4</v>
    <v>9</v>
    <v>0.95099999999999996</v>
    <v>0.31900000000000001</v>
    <v>1.61E-2</v>
    <v>1.4248E-2</v>
    <v>USD</v>
    <v>Lite Strategy, Inc., formerly MEI Pharma, Inc., is a Litecoin treasury company. The Company accumulates pure LTC through active treasury management and concentrates holdings per share as the ultimate metric of shareholder value. It is a clinical-stage pharmaceutical company focused on the development of differentiated cancer therapies intended to improve outcomes for patients. Its approach to oncology drug development is to evaluate its drug candidates in combination with standard-of-care therapies to overcome known resistance mechanisms and address clear medical needs. The portfolio of drug candidates includes voruciclib, an oral cyclin-dependent kinase 9 (CDK9) inhibitor, and zandelisib, an oral, once-daily, selective PI3Kd inhibitor. Voruciclib is a selective orally administered CDK9 inhibitor with potential to treat both hematological malignancies and solid tumors. Voruciclib, a selective orally administered inhibitor of CDK9, is in clinical development for acute myeloid leukemia.</v>
    <v>4</v>
    <v>Nasdaq Stock Market</v>
    <v>XNAS</v>
    <v>XNAS</v>
    <v>9920 Pacific Heights Blvd, Suite 150, SAN DIEGO, CA, 92121 US</v>
    <v>1.1499999999999999</v>
    <v>Investment Banking &amp; Investment Services</v>
    <v>Stock</v>
    <v>46087.869123622659</v>
    <v>6</v>
    <v>1.0900000000000001</v>
    <v>41674488</v>
    <v>LITE STRATEGY, INC.</v>
    <v>LITE STRATEGY, INC.</v>
    <v>1.1100000000000001</v>
    <v>0</v>
    <v>1.1299999999999999</v>
    <v>1.1460999999999999</v>
    <v>36362000</v>
    <v>LITS</v>
    <v>LITE STRATEGY, INC. (XNAS:LITS)</v>
    <v>273597</v>
    <v>380448</v>
    <v>2000</v>
  </rv>
  <rv s="2">
    <v>7</v>
  </rv>
  <rv s="0">
    <v>https://www.bing.com/financeapi/forcetrigger?t=a1zr8m&amp;q=XNAS%3aPFIE&amp;form=skydnc</v>
    <v>Learn more on Bing</v>
  </rv>
  <rv s="3">
    <v>en-CA</v>
    <v>a1zr8m</v>
    <v>268435456</v>
    <v>1</v>
    <v>1</v>
    <v>Powered by Refinitiv</v>
    <v>5</v>
    <v>PROFIRE ENERGY, INC (XNAS:PFIE)</v>
    <v>2</v>
    <v>3</v>
    <v>Finance</v>
    <v>6</v>
    <v>2.56</v>
    <v>1.33</v>
    <v>0.45050000000000001</v>
    <v>0</v>
    <v>0</v>
    <v>USD</v>
    <v>Profire Energy, Inc. is a technology company. The Company is focused on the upstream, midstream, and downstream transmission segments of the oil and gas industry. It specializes in the engineering and design of burner and combustion management systems and solutions. The Company’s applications include combustors, enclosed flares, gas production units, treaters, glycol and amine reboiler, indirect line heaters, heated tanks, and process heaters that require heat as part of its production and or processing functions. Its burner-management systems ignite, monitor, and manage pilot and burner systems that are utilized in its process. Its technology enables remote operation, reducing the need for employee interaction with the appliance's burner for purposes, such as re-ignition or temperature monitoring. The Company's systems and solutions are used by exploration and production companies (E&amp;P), midstream operators, pipeline operators, as well as downstream transmission and utility providers.</v>
    <v>118</v>
    <v>Nasdaq Stock Market</v>
    <v>XNAS</v>
    <v>XNAS</v>
    <v>321 S 1250 W Ste 1, LINDON, UT, 84042 US</v>
    <v>2.56</v>
    <v>Oil &amp; Gas Related Equipment and Services</v>
    <v>Stock</v>
    <v>45659.880513263284</v>
    <v>9</v>
    <v>2.54</v>
    <v>117347314</v>
    <v>PROFIRE ENERGY, INC</v>
    <v>PROFIRE ENERGY, INC</v>
    <v>2.5499999999999998</v>
    <v>13.796099999999999</v>
    <v>2.54</v>
    <v>2.54</v>
    <v>46199730</v>
    <v>PFIE</v>
    <v>PROFIRE ENERGY, INC (XNAS:PFIE)</v>
    <v>167161</v>
    <v>413305</v>
    <v>2003</v>
  </rv>
  <rv s="2">
    <v>10</v>
  </rv>
  <rv s="0">
    <v>https://www.bing.com/financeapi/forcetrigger?t=bvg8m7&amp;q=XNYS%3aXPEV&amp;form=skydnc</v>
    <v>Learn more on Bing</v>
  </rv>
  <rv s="4">
    <v>en-CA</v>
    <v>bvg8m7</v>
    <v>268435456</v>
    <v>1</v>
    <v>Powered by Refinitiv</v>
    <v>7</v>
    <v>XPENG INC. (XNYS:XPEV)</v>
    <v>2</v>
    <v>8</v>
    <v>Finance</v>
    <v>4</v>
    <v>28.234999999999999</v>
    <v>15.380100000000001</v>
    <v>1.2053</v>
    <v>0.96499999999999997</v>
    <v>5.9057999999999999E-2</v>
    <v>USD</v>
    <v>XPeng Inc is a holding company mainly engaged in the design, development, manufacturing and marketing of smart electrical vehicles (EVs). The Company develops full-stack advanced driver assistance systems (ADAS) software in house and has deployed such software on mass-produced vehicles. The Company offers various models, including G9 (mid- to large-sized sport utility vehicle (SUV), P7i (sports sedan), G6 (coupe SUV), X9 (seven-seater multi-purpose vehicle (MPV)), MONA M03 (sedan) and P7+ (family sedan). The Company operates stores across China, including both stores directly operated by the Company and franchised stores. The Company also offers technical research and development services, services embedded in a sales contract, maintenance service, supercharging service.</v>
    <v>16631</v>
    <v>New York Stock Exchange</v>
    <v>XNYS</v>
    <v>XNYS</v>
    <v>No. 8 Songgang Road, Changxing Street, Cencun, Tianhe District, GUANGZHOU, GUANGDONG CN</v>
    <v>17.4298</v>
    <v>Automobiles &amp; Auto Parts</v>
    <v>Stock</v>
    <v>46087.872615080472</v>
    <v>12</v>
    <v>16.5</v>
    <v>16540638150</v>
    <v>XPENG INC.</v>
    <v>XPENG INC.</v>
    <v>16.510000000000002</v>
    <v>16.34</v>
    <v>17.305</v>
    <v>955830000</v>
    <v>XPEV</v>
    <v>XPENG INC. (XNYS:XPEV)</v>
    <v>7606399</v>
    <v>5816096</v>
    <v>2018</v>
  </rv>
  <rv s="2">
    <v>13</v>
  </rv>
  <rv s="0">
    <v>http://en.wikipedia.org/wiki/Public_domain</v>
    <v>Public domain</v>
  </rv>
  <rv s="0">
    <v>http://en.wikipedia.org/wiki/BlackBerry_Limited</v>
    <v>Wikipedia</v>
  </rv>
  <rv s="5">
    <v>15</v>
    <v>16</v>
  </rv>
  <rv s="6">
    <v>13</v>
    <v>https://www.bing.com/th?id=AMMS_b5974b345a08eff62bdaa3cfc79e9995&amp;qlt=95</v>
    <v>17</v>
    <v>0</v>
    <v>https://www.bing.com/images/search?form=xlimg&amp;q=research+in+motion</v>
    <v>Image of BLACKBERRY LIMITED</v>
  </rv>
  <rv s="0">
    <v>https://www.bing.com/financeapi/forcetrigger?t=a1o79c&amp;q=XNYS%3aBB&amp;form=skydnc</v>
    <v>Learn more on Bing</v>
  </rv>
  <rv s="7">
    <v>en-CA</v>
    <v>a1o79c</v>
    <v>268435456</v>
    <v>1</v>
    <v>Powered by Refinitiv</v>
    <v>9</v>
    <v>BLACKBERRY LIMITED (XNYS:BB)</v>
    <v>11</v>
    <v>12</v>
    <v>Finance</v>
    <v>4</v>
    <v>5.32</v>
    <v>2.8</v>
    <v>1.2782</v>
    <v>-0.113</v>
    <v>-3.1830999999999998E-2</v>
    <v>USD</v>
    <v>BlackBerry Limited is a Canada-based company, which provides enterprises and governments the intelligent software and services. The Company delivers operational resiliency with the certified product portfolio for mobile fortification, mission-critical communications, and critical events management. It operates in three segments: QNX, Secure Communications, and Licensing. The QNX segment consists of the QNX business, BlackBerry Certicom, and BlackBerry Radar. The Secure Communications segment consists of BlackBerry UEM solutions, BlackBerry AtHoc, and BlackBerry SecuSUITE. Its endpoint management platform includes BlackBerry UEM, BlackBerry Dynamics, BlackBerry Workspaces solutions, and BlackBerry Messenger (BBM) Enterprise. The Licensing segment consists of the Company’s intellectual property arrangements and settlement awards. Its BlackBerry Radar is a family of asset monitoring and telematics solutions for the transportation and logistics industry.</v>
    <v>1820</v>
    <v>New York Stock Exchange</v>
    <v>XNYS</v>
    <v>XNYS</v>
    <v>2200 University Avenue East, WATERLOO, ON, N2K 0A7 CA</v>
    <v>3.5249999999999999</v>
    <v>18</v>
    <v>Software &amp; IT Services</v>
    <v>Stock</v>
    <v>46087.872603437499</v>
    <v>19</v>
    <v>3.42</v>
    <v>3213179000</v>
    <v>BLACKBERRY LIMITED</v>
    <v>BLACKBERRY LIMITED</v>
    <v>3.51</v>
    <v>96.005600000000001</v>
    <v>3.55</v>
    <v>3.4369999999999998</v>
    <v>590147500</v>
    <v>BB</v>
    <v>BLACKBERRY LIMITED (XNYS:BB)</v>
    <v>5018766</v>
    <v>6220059</v>
    <v>2003</v>
  </rv>
  <rv s="2">
    <v>20</v>
  </rv>
  <rv s="0">
    <v>https://www.bing.com/financeapi/forcetrigger?t=a23sfr&amp;q=XNAS%3aSUNW&amp;form=skydnc</v>
    <v>Learn more on Bing</v>
  </rv>
  <rv s="8">
    <v>en-CA</v>
    <v>a23sfr</v>
    <v>268435456</v>
    <v>1</v>
    <v>Powered by Refinitiv</v>
    <v>14</v>
    <v>SUNWORKS INC. (OTCM:SUNWQ)</v>
    <v>2</v>
    <v>15</v>
    <v>Finance</v>
    <v>16</v>
    <v>0.01</v>
    <v>9.9999999999999995E-7</v>
    <v>0</v>
    <v>0</v>
    <v>USD</v>
    <v>Sunworks, Inc. provides photovoltaic (PV) and battery-based power, storage systems and electric charging solutions for the residential and commercial markets. The Company's commercial projects include commercial, agricultural, industrial, and public works projects. It operates through three segments: Residential Solar, Commercial Solar Energy, and Corporate. Residential Solar segment designs, arrange finances, integrates, installs, and manages systems, primarily for residential homeowners. The Commercial Solar Energy segment designs, arrange finances, integrates, installs, and manages systems ranging in size from 50kW (kilowatt) to multi-MW (megawatt) systems primarily for larger commercial and public works projects. Its commercial installations include installations at office buildings, manufacturing plants, warehouses, service stations, churches, and agricultural facilities such as farms, wineries, and dairies.</v>
    <v>622</v>
    <v>OTC Markets</v>
    <v>OTCM</v>
    <v>OTCM</v>
    <v>1555 Freedom Blvd., 200 West, PROVO, UT, 84604 US</v>
    <v>9.9999999999999995E-7</v>
    <v>Renewable Energy</v>
    <v>Stock</v>
    <v>46087.604228714845</v>
    <v>22</v>
    <v>9.9999999999999995E-7</v>
    <v>56</v>
    <v>SUNWORKS INC.</v>
    <v>SUNWORKS INC.</v>
    <v>9.9999999999999995E-7</v>
    <v>0</v>
    <v>9.9999999999999995E-7</v>
    <v>9.9999999999999995E-7</v>
    <v>56784150</v>
    <v>SUNWQ</v>
    <v>SUNWORKS INC. (OTCM:SUNWQ)</v>
    <v>10700</v>
    <v>29417304</v>
    <v>2002</v>
  </rv>
  <rv s="2">
    <v>23</v>
  </rv>
  <rv s="0">
    <v>https://www.bing.com/financeapi/forcetrigger?t=bjqejc&amp;q=XNYS%3aNIO&amp;form=skydnc</v>
    <v>Learn more on Bing</v>
  </rv>
  <rv s="4">
    <v>en-CA</v>
    <v>bjqejc</v>
    <v>268435456</v>
    <v>1</v>
    <v>Powered by Refinitiv</v>
    <v>7</v>
    <v>NIO INC. (XNYS:NIO)</v>
    <v>2</v>
    <v>8</v>
    <v>Finance</v>
    <v>4</v>
    <v>8.02</v>
    <v>3.02</v>
    <v>1.1598999999999999</v>
    <v>5.8900000000000001E-2</v>
    <v>1.2479000000000001E-2</v>
    <v>USD</v>
    <v>NIO Inc is a holding company mainly engaged in the design, development, manufacturing and sales of smart electric vehicles. The Company offers premium smart electric vehicles under the NIO brand, family-oriented smart electric vehicles through the ONVO brand, and small smart high-end electric cars with the FIREFLY brand. The Company focuses on building in-house capabilities including battery swapping, assisted and intelligent driving, digital technologies, electric powertrain and battery, vehicle engineering and design, among others, to control the design and development of the vehicle software and hardware architecture and the critical components.</v>
    <v>45635</v>
    <v>New York Stock Exchange</v>
    <v>XNYS</v>
    <v>XNYS</v>
    <v>Building 19, No. 1355, Caobao Road, Minhang District, Shanghai, SHANGHAI, 200233 CN</v>
    <v>4.8099999999999996</v>
    <v>Automobiles &amp; Auto Parts</v>
    <v>Stock</v>
    <v>46087.872598483591</v>
    <v>25</v>
    <v>4.63</v>
    <v>11690049602</v>
    <v>NIO INC.</v>
    <v>NIO INC.</v>
    <v>4.6900000000000004</v>
    <v>4.72</v>
    <v>4.7789000000000001</v>
    <v>2446180000</v>
    <v>NIO</v>
    <v>NIO INC. (XNYS:NIO)</v>
    <v>25398012</v>
    <v>45951812</v>
    <v>2014</v>
  </rv>
  <rv s="2">
    <v>26</v>
  </rv>
  <rv s="0">
    <v>http://zh.wikipedia.org/wiki/Bed_Bath_&amp;_Beyond</v>
    <v>Wikipedia</v>
  </rv>
  <rv s="5">
    <v>15</v>
    <v>28</v>
  </rv>
  <rv s="6">
    <v>13</v>
    <v>https://www.bing.com/th?id=AMMS_8304a3c8d89b5586758becbe44db5144&amp;qlt=95</v>
    <v>29</v>
    <v>0</v>
    <v>https://www.bing.com/images/search?form=xlimg&amp;q=bed+bath+%26+beyond</v>
    <v>Image of BED BATH &amp; BEYOND INC.</v>
  </rv>
  <rv s="0">
    <v>https://www.bing.com/financeapi/forcetrigger?t=a1o7c7&amp;q=XNAS%3aBBBY&amp;form=skydnc</v>
    <v>Learn more on Bing</v>
  </rv>
  <rv s="9">
    <v>en-CA</v>
    <v>a1o7c7</v>
    <v>268435456</v>
    <v>1</v>
    <v>1</v>
    <v>Powered by Refinitiv</v>
    <v>17</v>
    <v>BED BATH &amp; BEYOND INC. (OTCM:BBBYQ)</v>
    <v>11</v>
    <v>18</v>
    <v>Finance</v>
    <v>16</v>
    <v>7.0309999999999997</v>
    <v>4.8000000000000001E-2</v>
    <v>1.6456</v>
    <v>0</v>
    <v>0</v>
    <v>USD</v>
    <v>Bed Bath &amp; Beyond Inc. has filed a voluntary petition under Chapter 11 of the U.S. Bankruptcy Code and is winding down its business. The Company has no business operations.</v>
    <v>20000</v>
    <v>OTC Markets</v>
    <v>OTCM</v>
    <v>OTCM</v>
    <v>650 Liberty Ave, UNION, NJ, 07083 US</v>
    <v>0.11</v>
    <v>30</v>
    <v>Holding Companies</v>
    <v>Stock</v>
    <v>45199.006944444445</v>
    <v>31</v>
    <v>6.7000000000000004E-2</v>
    <v>61700210</v>
    <v>BED BATH &amp; BEYOND INC.</v>
    <v>BED BATH &amp; BEYOND INC.</v>
    <v>9.9900000000000003E-2</v>
    <v>0.11</v>
    <v>7.8899999999999998E-2</v>
    <v>782005200</v>
    <v>BBBYQ</v>
    <v>BED BATH &amp; BEYOND INC. (OTCM:BBBYQ)</v>
    <v>8823802</v>
    <v>222535341</v>
    <v>1971</v>
  </rv>
  <rv s="2">
    <v>32</v>
  </rv>
  <rv s="0">
    <v>https://www.bing.com/financeapi/forcetrigger?t=a1p3u2&amp;q=XNAS%3aBZUN&amp;form=skydnc</v>
    <v>Learn more on Bing</v>
  </rv>
  <rv s="1">
    <v>en-CA</v>
    <v>a1p3u2</v>
    <v>268435456</v>
    <v>1</v>
    <v>Powered by Refinitiv</v>
    <v>0</v>
    <v>BAOZUN INC. (XNAS:BZUN)</v>
    <v>2</v>
    <v>3</v>
    <v>Finance</v>
    <v>4</v>
    <v>4.88</v>
    <v>2.12</v>
    <v>0.4032</v>
    <v>2.5000000000000001E-2</v>
    <v>1.0592999999999998E-2</v>
    <v>USD</v>
    <v>Baozun Inc is a holding company mainly engaged in the provision of brand e-commerce solutions. The Company focus on providing integrated brand-e-commerce solutions to their brand partners, including information technology (IT) solutions, online store operation, digital marketing, customer services, as well as warehousing and fulfillment. The Company operates under three business models: distribution model, service fee model and consignment mode, according to different needs of their brand partners. The Company provides omni-channel solutions across official brand stores, online marketplaces, such as Tmall, JD.com and Pinduoduo, and social media channels, such as WeChat Mini Programs and RED (Xiaohongshu), as well as emerging live streaming and short video platforms, such as Douyin and Kuaishou.</v>
    <v>7650</v>
    <v>Nasdaq Stock Market</v>
    <v>XNAS</v>
    <v>XNAS</v>
    <v>No. 1-9, Lane 510, West Jiangchang Road, Jing'an District, SHANGHAI, SHANGHAI, 200436 CN</v>
    <v>2.39</v>
    <v>Software &amp; IT Services</v>
    <v>Stock</v>
    <v>46087.87224638828</v>
    <v>34</v>
    <v>2.31</v>
    <v>138581712</v>
    <v>BAOZUN INC.</v>
    <v>BAOZUN INC.</v>
    <v>2.37</v>
    <v>0</v>
    <v>2.36</v>
    <v>2.3849999999999998</v>
    <v>58105540</v>
    <v>BZUN</v>
    <v>BAOZUN INC. (XNAS:BZUN)</v>
    <v>130649</v>
    <v>259157</v>
    <v>2013</v>
  </rv>
  <rv s="2">
    <v>35</v>
  </rv>
  <rv s="0">
    <v>https://www.bing.com/financeapi/forcetrigger?t=a24kar&amp;q=XNAS%3aTSLA&amp;form=skydnc</v>
    <v>Learn more on Bing</v>
  </rv>
  <rv s="1">
    <v>en-CA</v>
    <v>a24kar</v>
    <v>268435456</v>
    <v>1</v>
    <v>Powered by Refinitiv</v>
    <v>0</v>
    <v>TESLA, INC. (XNAS:TSLA)</v>
    <v>2</v>
    <v>3</v>
    <v>Finance</v>
    <v>4</v>
    <v>498.83</v>
    <v>214.25</v>
    <v>1.9221999999999999</v>
    <v>-8.7477999999999998</v>
    <v>-2.1569999999999999E-2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402.35</v>
    <v>Automobiles &amp; Auto Parts</v>
    <v>Stock</v>
    <v>46087.872629872654</v>
    <v>37</v>
    <v>394.22</v>
    <v>1488973272950</v>
    <v>TESLA, INC.</v>
    <v>TESLA, INC.</v>
    <v>398.1</v>
    <v>368.98099999999999</v>
    <v>405.55</v>
    <v>396.80220000000003</v>
    <v>3752432000</v>
    <v>TSLA</v>
    <v>TESLA, INC. (XNAS:TSLA)</v>
    <v>58583111</v>
    <v>61029478</v>
    <v>2024</v>
  </rv>
  <rv s="2">
    <v>38</v>
  </rv>
  <rv s="0">
    <v>https://www.bing.com/financeapi/forcetrigger?t=a1ymmw&amp;q=XNAS%3aNNDM&amp;form=skydnc</v>
    <v>Learn more on Bing</v>
  </rv>
  <rv s="1">
    <v>en-CA</v>
    <v>a1ymmw</v>
    <v>268435456</v>
    <v>1</v>
    <v>Powered by Refinitiv</v>
    <v>0</v>
    <v>NANO DIMENSION LTD (XNAS:NNDM)</v>
    <v>2</v>
    <v>3</v>
    <v>Finance</v>
    <v>4</v>
    <v>2.3199999999999998</v>
    <v>1.31</v>
    <v>0.96419999999999995</v>
    <v>-6.5000000000000002E-2</v>
    <v>-3.4391999999999999E-2</v>
    <v>USD</v>
    <v>Nano Dimension Ltd, former ZBI Ltd, is an Israel-based company active in the technology sector. The Company operates as a provider of intelligent machines for the fabrication of Additively Manufactured Electronics (AME). Its portfolio solutions ranging from Additively Manufactured Electronics (AME), Printed Electronics (PE), Micro Additive Manufacturing, Artificial Intelligence (AI) deep learning, Surface-Mount Technology SMT Pick-and-Place, and inkjet solutions. Products portfolio consists products such as, DragonFly IV advanced 3D printing, Admatec 3D printers, AME materials, Versatile High Speed Dispensing Solutions, Production SMD software, Full Convection Reflow Ovens, Global Inkjet Systems, DeepCube, Fabrica 2.0 and Fabrica Micro-AM Materials among others. The Company targets a range of industry sectors, such as smart electronic devices that rely on printed circuit boards, connected devices, Radio Frequency (RF) components and antennas, sensors, and smart products.</v>
    <v>396</v>
    <v>Nasdaq Stock Market</v>
    <v>XNAS</v>
    <v>XNAS</v>
    <v>2 Ilan Ramon St., Ness-Ziona Science Park, NESS-ZIONA, 7403635 IL</v>
    <v>1.89</v>
    <v>Electronic Equipment &amp; Parts</v>
    <v>Stock</v>
    <v>46087.872537256248</v>
    <v>40</v>
    <v>1.82</v>
    <v>383861010</v>
    <v>NANO DIMENSION LTD</v>
    <v>NANO DIMENSION LTD</v>
    <v>1.84</v>
    <v>0</v>
    <v>1.89</v>
    <v>1.825</v>
    <v>210334800</v>
    <v>NNDM</v>
    <v>NANO DIMENSION LTD (XNAS:NNDM)</v>
    <v>1166089</v>
    <v>2727431</v>
    <v>1960</v>
  </rv>
  <rv s="2">
    <v>41</v>
  </rv>
  <rv s="0">
    <v>https://www.bing.com/financeapi/forcetrigger?t=a1tsf2&amp;q=XNAS%3aGEVO&amp;form=skydnc</v>
    <v>Learn more on Bing</v>
  </rv>
  <rv s="1">
    <v>en-CA</v>
    <v>a1tsf2</v>
    <v>268435456</v>
    <v>1</v>
    <v>Powered by Refinitiv</v>
    <v>0</v>
    <v>GEVO, INC. (XNAS:GEVO)</v>
    <v>2</v>
    <v>3</v>
    <v>Finance</v>
    <v>4</v>
    <v>2.95</v>
    <v>0.92120000000000002</v>
    <v>1.5064</v>
    <v>0.25</v>
    <v>0.132275</v>
    <v>USD</v>
    <v>Gevo, Inc. is a diversified energy company. The Company’s segments include Gevo, GevoFuels, GevoRNG and Gevo North Dakota (GevoND). The Gevo segment is responsible for all research and development activities related to the future production of SAF, commercial opportunities for other renewable hydrocarbon products, such as hydrocarbons for gasoline blendstocks and diesel fuel; ingredients for the chemical industry, such as ethylene and butene; plastics and materials, and other chemicals. The GevoFuels segment is focused on advancing practical, low-carbon energy alternatives that promote energy independence and strengthen the economy. The GevoRNG segment is a project that leverages anaerobic digestion technology to capture and convert methane emissions into renewable natural gas. The GevoND segment includes advanced CCS technologies and low-carbon ethanol assets at a facility in North Dakota, enhancing its portfolio of integrated carbon abatement solutions.</v>
    <v>122</v>
    <v>Nasdaq Stock Market</v>
    <v>XNAS</v>
    <v>XNAS</v>
    <v>345 Inverness Drive South, Building C, Suite 310, ENGLEWOOD, CO, 80112 US</v>
    <v>2.25</v>
    <v>Renewable Energy</v>
    <v>Stock</v>
    <v>46087.87263543906</v>
    <v>43</v>
    <v>1.88</v>
    <v>518540832</v>
    <v>GEVO, INC.</v>
    <v>GEVO, INC.</v>
    <v>1.9</v>
    <v>0</v>
    <v>1.89</v>
    <v>2.14</v>
    <v>242308800</v>
    <v>GEVO</v>
    <v>GEVO, INC. (XNAS:GEVO)</v>
    <v>14904662</v>
    <v>2471308</v>
    <v>2005</v>
  </rv>
  <rv s="2">
    <v>44</v>
  </rv>
  <rv s="0">
    <v>https://www.bing.com/financeapi/forcetrigger?t=a23b27&amp;q=XNYS%3aSOL&amp;form=skydnc</v>
    <v>Learn more on Bing</v>
  </rv>
  <rv s="10">
    <v>en-CA</v>
    <v>a23b27</v>
    <v>268435456</v>
    <v>1</v>
    <v>1</v>
    <v>Powered by Refinitiv</v>
    <v>19</v>
    <v>Emeren Group Ltd (XNYS:SOL)</v>
    <v>2</v>
    <v>20</v>
    <v>Finance</v>
    <v>21</v>
    <v>2.2997000000000001</v>
    <v>1.0401</v>
    <v>0.95379999999999998</v>
    <v>0</v>
    <v>5.1549999999999999E-3</v>
    <v>0</v>
    <v>0.01</v>
    <v>USD</v>
    <v>Emeren Group Ltd is a renewable energy company. The Company is a global solar and energy storage project developer, owner and operator with a pipeline of projects and IPP assets of more than seven gigawatts (GW) in solar projects and an energy storage pipeline of over 10 GWh across Europe, North America, and Asia. The Company develops and sells solar and storage power projects or project special purpose vehicles (SPVs) (project development business); provides engineering, procurement and construction (EPC business); owns and operates solar power projects and sells the electricity generated by its operated solar power plants (IPP business), and provides project development services (DSA business). The Company conducts the IPP business, EPC business, DSA business and project development business in a number of countries, including the United States, Poland, Hungary, Spain, France, United Kingdom (UK), Germany, Italy, Luxembourg and China.</v>
    <v>197</v>
    <v>New York Stock Exchange</v>
    <v>XNYS</v>
    <v>XNYS</v>
    <v>149 Water Street, Suite 302, NORWALK, CT, 06854 US</v>
    <v>1.94</v>
    <v>Construction &amp; Engineering</v>
    <v>Stock</v>
    <v>46003.988785185153</v>
    <v>46</v>
    <v>1.93</v>
    <v>99563950</v>
    <v>Emeren Group Ltd</v>
    <v>Emeren Group Ltd</v>
    <v>1.94</v>
    <v>6.7624000000000004</v>
    <v>1.93</v>
    <v>1.9350000000000001</v>
    <v>1.95</v>
    <v>51321620</v>
    <v>SOL</v>
    <v>Emeren Group Ltd (XNYS:SOL)</v>
    <v>610828</v>
    <v>222303</v>
    <v>2006</v>
  </rv>
  <rv s="2">
    <v>47</v>
  </rv>
  <rv s="0">
    <v>https://www.bing.com/financeapi/forcetrigger?t=a1nzbh&amp;q=XNAS%3aAVGR&amp;form=skydnc</v>
    <v>Learn more on Bing</v>
  </rv>
  <rv s="3">
    <v>en-CA</v>
    <v>a1nzbh</v>
    <v>268435456</v>
    <v>1</v>
    <v>1</v>
    <v>Powered by Refinitiv</v>
    <v>5</v>
    <v>AVINGER, INC. (XNAS:AVGR)</v>
    <v>2</v>
    <v>3</v>
    <v>Finance</v>
    <v>6</v>
    <v>4.3689</v>
    <v>0.36299999999999999</v>
    <v>1.2074</v>
    <v>0</v>
    <v>0</v>
    <v>USD</v>
    <v>Avinger, Inc. is a commercial-stage medical device company. The Company designs, manufactures, and sells real-time, image-guided, minimally invasive catheter-based systems that are used by physicians to treat patients with peripheral artery disease (PAD). Its Lumivascular platform includes the Lightbox real-time imaging console, the Ocelot and Tigereye family of catheters, which are image-guided catheters designed to allow physicians to penetrate a total blockage in an artery, known as a chronic total occlusion (CTO), and the Pantheris family of catheters, its image-guided atherectomy family of catheters designed to allow physicians to remove arterial plaque in PAD patients. Its Pantheris is a single-use product and provides physicians with the ability to see a cross-sectional view of the peripheral artery to guide the removal of blockages throughout the procedure. It has also developed a line extension of its Pantheris image-guided atherectomy platform, Pantheris Small Vessel (SV).</v>
    <v>68</v>
    <v>Nasdaq Stock Market</v>
    <v>XNAS</v>
    <v>XNAS</v>
    <v>400 Chesapeake Dr, REDWOOD CITY, CA, 94063 US</v>
    <v>0.60580000000000001</v>
    <v>Healthcare Equipment &amp; Supplies</v>
    <v>Stock</v>
    <v>45702.875006839844</v>
    <v>49</v>
    <v>0.46329999999999999</v>
    <v>1568670</v>
    <v>AVINGER, INC.</v>
    <v>AVINGER, INC.</v>
    <v>0.55610000000000004</v>
    <v>0</v>
    <v>0.59799999999999998</v>
    <v>0.47399999999999998</v>
    <v>3309430</v>
    <v>AVGR</v>
    <v>AVINGER, INC. (XNAS:AVGR)</v>
    <v>2592021</v>
    <v>2081908</v>
    <v>2007</v>
  </rv>
  <rv s="2">
    <v>50</v>
  </rv>
  <rv s="0">
    <v>https://www.bing.com/financeapi/forcetrigger?t=a24jk2&amp;q=XNYS%3aASXC&amp;form=skydnc</v>
    <v>Learn more on Bing</v>
  </rv>
  <rv s="11">
    <v>en-CA</v>
    <v>a24jk2</v>
    <v>268435456</v>
    <v>1</v>
    <v>1</v>
    <v>Powered by Refinitiv</v>
    <v>22</v>
    <v>ASENSUS SURGICAL, INC. (XNYS:ASXC)</v>
    <v>2</v>
    <v>8</v>
    <v>Finance</v>
    <v>6</v>
    <v>0.39929999999999999</v>
    <v>0.16900000000000001</v>
    <v>1.3224</v>
    <v>0</v>
    <v>0</v>
    <v>USD</v>
    <v>Asensus Surgical, Inc. is a medical device company digitizing the interface between the surgeon and patient to reimagine surgery through Performance-Guided Surgery to enable surgeons to deliver outcomes to patients and establish a new standard of surgery. It operates in one business segment, which is the research, development and sale of medical device robotics to improve minimally invasive surgery. It is developing the LUNA Surgical System, a robotic and instrument system as a foundation of its Digital Surgery solution. These systems shall be powered by the Intelligent Surgical Unit to enhance surgeon control and reduce surgical variability. With the addition of machine vision, Augmented Intelligence, and deep learning capabilities throughout the surgical experience, it intends to holistically address the clinical, cognitive and economic shortcomings that drive surgical outcomes and value-based healthcare. It is also working to incorporate all of this in the LUNA Surgical System.</v>
    <v>207</v>
    <v>New York Stock Exchange</v>
    <v>XNYS</v>
    <v>XNYS</v>
    <v>1 TW ALEXANDER DRIVE, SUITE 160, DURHAM, NC, 27703 US</v>
    <v>0.34949999999999998</v>
    <v>Healthcare Equipment &amp; Supplies</v>
    <v>Stock</v>
    <v>45526.000000057815</v>
    <v>52</v>
    <v>0.34599999999999997</v>
    <v>94921940</v>
    <v>ASENSUS SURGICAL, INC.</v>
    <v>ASENSUS SURGICAL, INC.</v>
    <v>0.34599999999999997</v>
    <v>0.34570000000000001</v>
    <v>0.34789999999999999</v>
    <v>272842600</v>
    <v>ASXC</v>
    <v>ASENSUS SURGICAL, INC. (XNYS:ASXC)</v>
    <v>4001321</v>
    <v>2752714</v>
    <v>1988</v>
  </rv>
  <rv s="2">
    <v>53</v>
  </rv>
  <rv s="0">
    <v>https://www.bing.com/financeapi/forcetrigger?t=a24m9c&amp;q=XNAS%3aTTOO&amp;form=skydnc</v>
    <v>Learn more on Bing</v>
  </rv>
  <rv s="1">
    <v>en-CA</v>
    <v>a24m9c</v>
    <v>268435456</v>
    <v>1</v>
    <v>Powered by Refinitiv</v>
    <v>0</v>
    <v>T2 BIOSYSTEMS, INC. (OTCM:TTOO)</v>
    <v>2</v>
    <v>3</v>
    <v>Finance</v>
    <v>16</v>
    <v>0.18</v>
    <v>1E-4</v>
    <v>0.82440000000000002</v>
    <v>8.0000000000000004E-4</v>
    <v>0.36363599999999996</v>
    <v>USD</v>
    <v>T2 Biosystems, Inc. is an in vitro diagnostics company focused on the detection of sepsis-causing pathogens and antibiotic resistance genes. Its technology enables detection of pathogens, biomarkers and other abnormalities in a variety of unpurified patient sample types, including whole blood, plasma, serum, saliva, sputum and urine, and can detect cellular targets at limits of detection as low as one colony forming unit per milliliter (CFU/mL). Its focus includes three areas: sepsis, bioterrorism, and Lyme disease. The Company's products include the T2Dx Instrument, the T2Bacteria Panel, the T2Candida Panel, the T2Resistance Panel, and the T2Biothreat Panel, and are powered by the T2 Magnetic Resonance (T2MR) technology. It also has an active pipeline of products, including the United States T2Resistance Panel, the Candida auris test, and the T2Lyme Panel. T2Dx Instrument is a fully automated instrument that is capable of running a range of diagnostic tests from patient samples.</v>
    <v>113</v>
    <v>OTC Markets</v>
    <v>OTCM</v>
    <v>OTCM</v>
    <v>101 Hartwell Ave, LEXINGTON, MA, 02421-3125 US</v>
    <v>3.0000000000000001E-3</v>
    <v>Healthcare Equipment &amp; Supplies</v>
    <v>Stock</v>
    <v>46085.048611111109</v>
    <v>55</v>
    <v>2.2000000000000001E-3</v>
    <v>61699</v>
    <v>T2 BIOSYSTEMS, INC.</v>
    <v>T2 BIOSYSTEMS, INC.</v>
    <v>2.2000000000000001E-3</v>
    <v>0</v>
    <v>2.2000000000000001E-3</v>
    <v>3.0000000000000001E-3</v>
    <v>28045420</v>
    <v>TTOO</v>
    <v>T2 BIOSYSTEMS, INC. (OTCM:TTOO)</v>
    <v>4</v>
    <v>1347048</v>
    <v>2006</v>
  </rv>
  <rv s="2">
    <v>56</v>
  </rv>
  <rv s="0">
    <v>https://www.bing.com/financeapi/forcetrigger?t=aw2wrw&amp;q=XNYS%3aZOM&amp;form=skydnc</v>
    <v>Learn more on Bing</v>
  </rv>
  <rv s="1">
    <v>en-CA</v>
    <v>aw2wrw</v>
    <v>268435456</v>
    <v>1</v>
    <v>Powered by Refinitiv</v>
    <v>0</v>
    <v>Zomedica Corp (OTCM:ZOMDF)</v>
    <v>2</v>
    <v>3</v>
    <v>Finance</v>
    <v>16</v>
    <v>0.158</v>
    <v>2.75E-2</v>
    <v>1.4750000000000001</v>
    <v>-3.2000000000000002E-3</v>
    <v>-2.5417000000000002E-2</v>
    <v>USD</v>
    <v>Zomedica Corp. is a veterinary health company. The Company is engaged in creating products for horses, dogs, and cats by focusing on the unmet needs of clinical veterinarians. The Company's product portfolio includes diagnostics and medical devices that emphasize patient health and practice economics. Its Diagnostics segment consists of TRUFORMA, VETGuardian, and TRUVIEW products. Its Therapeutic Devices segment consists of Assisi Loop and PulseVet products. Its TRUFORMA platform comprises point-of-care diagnostic products for disease states in dogs, cats and horses, providing assays for use at the point-of-care that provide reference lab accuracy. Its TRUVIEW platform consists of the TRUVIEW digital cystoscopy instrument providing microscopic images and related pathology services which enable practitioners to receive a pathologist interpretation of the images. The Assisi Loop platform includes a series of products that use targeted pulsed electromagnetic field therapy.</v>
    <v>152</v>
    <v>OTC Markets</v>
    <v>OTCM</v>
    <v>OTCM</v>
    <v>1101 Technology Drive, Suite 100, ANN ARBOR, MI, 48108 US</v>
    <v>0.12989999999999999</v>
    <v>Healthcare Providers &amp; Services</v>
    <v>Stock</v>
    <v>46087.861533182811</v>
    <v>58</v>
    <v>0.1201</v>
    <v>120239815</v>
    <v>Zomedica Corp</v>
    <v>Zomedica Corp</v>
    <v>0.1202</v>
    <v>0</v>
    <v>0.12590000000000001</v>
    <v>0.1227</v>
    <v>979949600</v>
    <v>ZOMDF</v>
    <v>Zomedica Corp (OTCM:ZOMDF)</v>
    <v>1162290</v>
    <v>3888038</v>
    <v>2013</v>
  </rv>
  <rv s="2">
    <v>59</v>
  </rv>
  <rv s="0">
    <v>https://www.bing.com/financeapi/forcetrigger?t=bp3dp2&amp;q=XNAS%3aCTRM&amp;form=skydnc</v>
    <v>Learn more on Bing</v>
  </rv>
  <rv s="1">
    <v>en-CA</v>
    <v>bp3dp2</v>
    <v>268435456</v>
    <v>1</v>
    <v>Powered by Refinitiv</v>
    <v>0</v>
    <v>Castor Maritime Inc. (XNAS:CTRM)</v>
    <v>2</v>
    <v>3</v>
    <v>Finance</v>
    <v>4</v>
    <v>2.84</v>
    <v>1.84</v>
    <v>1.2653000000000001</v>
    <v>-0.01</v>
    <v>-4.5869999999999999E-3</v>
    <v>USD</v>
    <v>Castor Maritime Inc. is a diversified global shipping and energy company, with activities directly and indirectly in investment and asset management, vessel ownership, technical and commercial ship management and energy infrastructure projects. The Company is engaged in the seaborne transportation of a range of commodities along worldwide shipping routes. It offers seaborne transportation services for dry bulk and containership cargoes. The Company owns a fleet of approximately 12 vessels, with an aggregate capacity of 0.8 million deadweight tons (dwt), consisting of four Kamsarmax vessels, five Panamax dry bulk vessels, one Ultramax vessel, one 2,700 twenty-foot equivalent unit (TEU) containership vessels, and one 1850 TEU containership. The Company’s fleet includes M/V Magic Thunder, M/V Magic Perseus, M/V Magic Starlight, M/V Magic Mars, M/V Magic P, M/V Magic Vela, M/V Magic Eclipse, M/V Magic Pluto, and M/V Magic Callisto.</v>
    <v>155</v>
    <v>Nasdaq Stock Market</v>
    <v>XNAS</v>
    <v>XNAS</v>
    <v>Christodoulou Chatzipavlou 223, Hawaii Royal Gardens, Apart. 16, LIMASSOL, 3036 CY</v>
    <v>2.2000000000000002</v>
    <v>Freight &amp; Logistics Services</v>
    <v>Stock</v>
    <v>46087.872026608595</v>
    <v>61</v>
    <v>2.15</v>
    <v>20967299</v>
    <v>Castor Maritime Inc.</v>
    <v>Castor Maritime Inc.</v>
    <v>2.17</v>
    <v>0</v>
    <v>2.1800000000000002</v>
    <v>2.17</v>
    <v>9662350</v>
    <v>CTRM</v>
    <v>Castor Maritime Inc. (XNAS:CTRM)</v>
    <v>48352</v>
    <v>75417</v>
    <v>2017</v>
  </rv>
  <rv s="2">
    <v>62</v>
  </rv>
  <rv s="12">
    <v>12</v>
    <v>Price</v>
    <v>0</v>
  </rv>
  <rv s="13">
    <v>12</v>
    <v>1</v>
  </rv>
  <rv s="0">
    <v>https://en.wikipedia.org/wiki/Microsoft</v>
    <v>Wikipedia</v>
  </rv>
  <rv s="5">
    <v>15</v>
    <v>66</v>
  </rv>
  <rv s="6">
    <v>13</v>
    <v>https://www.bing.com/th?id=AMMS_e6e837c7bf3a77408619758b7447855a&amp;qlt=95</v>
    <v>67</v>
    <v>0</v>
    <v>https://www.bing.com/images/search?form=xlimg&amp;q=microsoft</v>
    <v>Image of MICROSOFT CORPORATION</v>
  </rv>
  <rv s="0">
    <v>https://www.bing.com/financeapi/forcetrigger?t=a1xzim&amp;q=XNAS%3aMSFT&amp;form=skydnc</v>
    <v>Learn more on Bing</v>
  </rv>
  <rv s="7">
    <v>en-CA</v>
    <v>a1xzim</v>
    <v>268435456</v>
    <v>1</v>
    <v>Powered by Refinitiv</v>
    <v>9</v>
    <v>MICROSOFT CORPORATION (XNAS:MSFT)</v>
    <v>11</v>
    <v>23</v>
    <v>Finance</v>
    <v>4</v>
    <v>555.45000000000005</v>
    <v>344.79</v>
    <v>1.0991</v>
    <v>-1.625</v>
    <v>-3.9569999999999996E-3</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413.05</v>
    <v>68</v>
    <v>Software &amp; IT Services</v>
    <v>Stock</v>
    <v>46087.872662707814</v>
    <v>69</v>
    <v>408.51010000000002</v>
    <v>3037490670595</v>
    <v>MICROSOFT CORPORATION</v>
    <v>MICROSOFT CORPORATION</v>
    <v>409.52</v>
    <v>25.594100000000001</v>
    <v>410.68</v>
    <v>409.05500000000001</v>
    <v>7425629000</v>
    <v>MSFT</v>
    <v>MICROSOFT CORPORATION (XNAS:MSFT)</v>
    <v>24073208</v>
    <v>45446509</v>
    <v>1993</v>
  </rv>
  <rv s="2">
    <v>70</v>
  </rv>
  <rv s="0">
    <v>https://www.bing.com/financeapi/forcetrigger?t=azetar&amp;q=XNAS%3aBTBT&amp;form=skydnc</v>
    <v>Learn more on Bing</v>
  </rv>
  <rv s="1">
    <v>en-CA</v>
    <v>azetar</v>
    <v>268435456</v>
    <v>1</v>
    <v>Powered by Refinitiv</v>
    <v>0</v>
    <v>BIT DIGITAL, INC (XNAS:BTBT)</v>
    <v>2</v>
    <v>3</v>
    <v>Finance</v>
    <v>4</v>
    <v>4.55</v>
    <v>1.49</v>
    <v>4.0316000000000001</v>
    <v>-0.1</v>
    <v>-5.8139999999999997E-2</v>
    <v>USD</v>
    <v>Bit Digital, Inc. is a global platform for high performance computing (HPC) infrastructure and digital asset production company. The Company is a provider of HPC data centers and cloud-based HPC graphics processing units (GPU) services, which term cloud services, for customers such as artificial intelligence (AI) and machine learning (ML) developers. The Company designs, develops, and operates HPC data centers, through which it offers hosting and colocation services. The Company has four reportable segments: Digital asset mining, Cloud services, Colocation services, and ETH Staking. The Digital asset mining segment is engaged in bitcoin and mining activities. The Cloud services segment provides HPC services to support generative AI workstreams. The Colocation services segment provide customers with physical space, power and cooling within the data center facility. The ETH staking segment is engaged in both native staking and liquid staking.</v>
    <v>54</v>
    <v>Nasdaq Stock Market</v>
    <v>XNAS</v>
    <v>XNAS</v>
    <v>31 HUDSON YARDS, FLOOR 11, NEW YORK, NY, 10001 US</v>
    <v>1.7</v>
    <v>Financial Technology (Fintech) &amp; Infrastructure</v>
    <v>Stock</v>
    <v>46087.872620786722</v>
    <v>72</v>
    <v>1.5906</v>
    <v>524353176</v>
    <v>BIT DIGITAL, INC</v>
    <v>BIT DIGITAL, INC</v>
    <v>1.68</v>
    <v>4.1368999999999998</v>
    <v>1.72</v>
    <v>1.62</v>
    <v>323674800</v>
    <v>BTBT</v>
    <v>BIT DIGITAL, INC (XNAS:BTBT)</v>
    <v>19129644</v>
    <v>26199000</v>
    <v>2017</v>
  </rv>
  <rv s="2">
    <v>73</v>
  </rv>
  <rv s="0">
    <v>https://www.bing.com/financeapi/forcetrigger?t=a1xadm&amp;q=XNAS%3aMARA&amp;form=skydnc</v>
    <v>Learn more on Bing</v>
  </rv>
  <rv s="1">
    <v>en-CA</v>
    <v>a1xadm</v>
    <v>268435456</v>
    <v>1</v>
    <v>Powered by Refinitiv</v>
    <v>0</v>
    <v>MARA HOLDINGS, INC. (XNAS:MARA)</v>
    <v>2</v>
    <v>3</v>
    <v>Finance</v>
    <v>4</v>
    <v>23.45</v>
    <v>6.66</v>
    <v>5.4104000000000001</v>
    <v>-0.8075</v>
    <v>-9.207499999999999E-2</v>
    <v>USD</v>
    <v>MARA Holdings, Inc. is engaged in digital asset compute that develops and deploys technologies. The Company secures the blockchain ledger and supports energy transformation by converting clean, stranded, or otherwise underutilized energy into economic value. It also offers advanced technology solutions to optimize data center operations, including liquid immersion cooling and firmware for bitcoin miners. It is primarily focused on computing for, acquiring, and holding digital assets as a long-term investment. Its core business is bitcoin mining, and it produces, or mines, bitcoin using energy-efficient fleets of specialized computers while providing dispatchable compute as an optionality to the electric grid operators to balance electric demands on the grid. It is also engaged in the sale of data center infrastructure, such as immersion-cooled systems, to third parties operating in the bitcoin ecosystem and the artificial intelligence (AI) and high-performance compute (HPC) sectors.</v>
    <v>266</v>
    <v>Nasdaq Stock Market</v>
    <v>XNAS</v>
    <v>XNAS</v>
    <v>1010 South Federal Highway, Suite 2700, HALLANDALE BEACH, FL, 33009 US</v>
    <v>8.5250000000000004</v>
    <v>Financial Technology (Fintech) &amp; Infrastructure</v>
    <v>Stock</v>
    <v>46087.872663414062</v>
    <v>75</v>
    <v>7.89</v>
    <v>3027618002</v>
    <v>MARA HOLDINGS, INC.</v>
    <v>MARA HOLDINGS, INC.</v>
    <v>8.4700000000000006</v>
    <v>4.2363</v>
    <v>8.77</v>
    <v>7.9625000000000004</v>
    <v>380234600</v>
    <v>MARA</v>
    <v>MARA HOLDINGS, INC. (XNAS:MARA)</v>
    <v>33290362</v>
    <v>52306248</v>
    <v>2010</v>
  </rv>
  <rv s="2">
    <v>76</v>
  </rv>
  <rv s="0">
    <v>https://www.bing.com/financeapi/forcetrigger?t=a1yv52&amp;q=XNAS%3aNVDA&amp;form=skydnc</v>
    <v>Learn more on Bing</v>
  </rv>
  <rv s="1">
    <v>en-CA</v>
    <v>a1yv52</v>
    <v>268435456</v>
    <v>1</v>
    <v>Powered by Refinitiv</v>
    <v>0</v>
    <v>NVIDIA CORPORATION (XNAS:NVDA)</v>
    <v>2</v>
    <v>3</v>
    <v>Finance</v>
    <v>4</v>
    <v>212.18989999999999</v>
    <v>86.62</v>
    <v>2.3706999999999998</v>
    <v>-5.7</v>
    <v>-3.109E-2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182.7561</v>
    <v>Semiconductors &amp; Semiconductor Equipment</v>
    <v>Stock</v>
    <v>46087.872655392966</v>
    <v>78</v>
    <v>176.8201</v>
    <v>4316651999999</v>
    <v>NVIDIA CORPORATION</v>
    <v>NVIDIA CORPORATION</v>
    <v>179.87</v>
    <v>36.239699999999999</v>
    <v>183.34</v>
    <v>177.64</v>
    <v>24300000000</v>
    <v>NVDA</v>
    <v>NVIDIA CORPORATION (XNAS:NVDA)</v>
    <v>156644694</v>
    <v>194416183</v>
    <v>1998</v>
  </rv>
  <rv s="2">
    <v>79</v>
  </rv>
  <rv s="0">
    <v>https://creativecommons.org/licenses/by-sa/3.0</v>
    <v>CC BY-SA 3.0</v>
  </rv>
  <rv s="0">
    <v>http://ru.wikipedia.org/wiki/Enbridge</v>
    <v>Wikipedia</v>
  </rv>
  <rv s="5">
    <v>81</v>
    <v>82</v>
  </rv>
  <rv s="6">
    <v>13</v>
    <v>https://www.bing.com/th?id=AMMS_2dff174a9486b673dc917f30af9876c5&amp;qlt=95</v>
    <v>83</v>
    <v>0</v>
    <v>https://www.bing.com/images/search?form=xlimg&amp;q=enbridge</v>
    <v>Image of Enbridge Inc.</v>
  </rv>
  <rv s="0">
    <v>https://www.bing.com/financeapi/forcetrigger?t=aaxzhw&amp;q=XTSE%3aENB&amp;form=skydnc</v>
    <v>Learn more on Bing</v>
  </rv>
  <rv s="7">
    <v>en-CA</v>
    <v>aaxzhw</v>
    <v>268435456</v>
    <v>1</v>
    <v>Powered by Refinitiv</v>
    <v>9</v>
    <v>Enbridge Inc. (XTSE:ENB)</v>
    <v>11</v>
    <v>24</v>
    <v>Finance</v>
    <v>25</v>
    <v>74.39</v>
    <v>56.51</v>
    <v>0.85629999999999995</v>
    <v>-0.28999999999999998</v>
    <v>-3.9389999999999998E-3</v>
    <v>CAD</v>
    <v>Enbridge Inc. is an energy transportation and distribution company. The Company operates through five business segments: Liquids Pipelines, Gas Transmission and Midstream, Gas Distribution and Storage, Renewable Power Generation, and Energy Services. Liquids Pipelines consists of pipelines and terminals in Canada and the United States that transport and export various grades of crude oil and other liquid hydrocarbons. Gas Transmission and Midstream consists of its investments in natural gas pipelines and gathering and processing facilities in Canada and the United States. Gas Distribution and Storage consists of its natural gas utility operations. Renewable Power Generation consists of investments in wind and solar assets, geothermal, waste heat recovery, and transmission assets. Energy Services provides physical commodity marketing, logistics services, and energy marketing services. The Company owns Aitken Creek Gas Storage facility and Aitken Creek North Gas Storage facility.</v>
    <v>14500</v>
    <v>Toronto Stock Exchange</v>
    <v>XTSE</v>
    <v>XTSE</v>
    <v>200, Fifth Avenue Place, 425 - 1st Street S.W, CALGARY, AB, T2P 3L8 CA</v>
    <v>74.08</v>
    <v>84</v>
    <v>Oil &amp; Gas Related Equipment and Services</v>
    <v>Stock</v>
    <v>46087.862222222226</v>
    <v>85</v>
    <v>72.989999999999995</v>
    <v>160013065320</v>
    <v>Enbridge Inc.</v>
    <v>Enbridge Inc.</v>
    <v>74.08</v>
    <v>22.755500000000001</v>
    <v>73.63</v>
    <v>73.34</v>
    <v>2181798000</v>
    <v>ENB</v>
    <v>Enbridge Inc. (XTSE:ENB)</v>
    <v>1897363</v>
    <v>9706100</v>
    <v>1987</v>
  </rv>
  <rv s="2">
    <v>86</v>
  </rv>
  <rv s="0">
    <v>https://www.bing.com/financeapi/forcetrigger?t=aax6ww&amp;q=XTSE%3aBNS&amp;form=skydnc</v>
    <v>Learn more on Bing</v>
  </rv>
  <rv s="1">
    <v>en-CA</v>
    <v>aax6ww</v>
    <v>268435456</v>
    <v>1</v>
    <v>Powered by Refinitiv</v>
    <v>0</v>
    <v>THE BANK OF NOVA SCOTIA (XTSE:BNS)</v>
    <v>2</v>
    <v>26</v>
    <v>Finance</v>
    <v>25</v>
    <v>106.39</v>
    <v>62.57</v>
    <v>1.1901999999999999</v>
    <v>-2.0499999999999998</v>
    <v>-2.0560000000000002E-2</v>
    <v>CAD</v>
    <v>The Bank of Nova Scotia (the Bank) is a chartered Schedule I bank. The Bank is a global financial services provider offering a range of products and services, including personal, commercial, corporate and investment banking. Its segments include Canadian Banking, International Banking, Global Wealth Management, Global Banking and Markets, and Other. Canadian Banking segment provides a full suite of financial advice and banking solutions. Canadian Banking segment comprises retail banking and business banking. International Banking segment is a diverse franchise that provides financial advice and solutions to retail, corporate, and commercial clients. Its geographic presence spans over 15 countries including Mexico, Chile, and Peru. Global Wealth Management segment is comprised of wealth management and asset management businesses. Global Banking and Markets segment provides corporate clients with lending and transaction services, investment banking advice and access to capital markets.</v>
    <v>79740</v>
    <v>Toronto Stock Exchange</v>
    <v>XTSE</v>
    <v>XTSE</v>
    <v>40 Temperance Street, TORONTO, ON, M5H 0B4 CA</v>
    <v>98.8</v>
    <v>Banking Services</v>
    <v>Stock</v>
    <v>46087.862037037034</v>
    <v>88</v>
    <v>97.21</v>
    <v>120575430700</v>
    <v>THE BANK OF NOVA SCOTIA</v>
    <v>THE BANK OF NOVA SCOTIA</v>
    <v>98.8</v>
    <v>14.5642</v>
    <v>99.71</v>
    <v>97.66</v>
    <v>1234645000</v>
    <v>BNS</v>
    <v>THE BANK OF NOVA SCOTIA (XTSE:BNS)</v>
    <v>1809872</v>
    <v>4037710</v>
    <v>1832</v>
  </rv>
  <rv s="2">
    <v>89</v>
  </rv>
  <rv s="0">
    <v>https://www.bing.com/financeapi/forcetrigger?t=ab12w7&amp;q=XTSE%3aRY&amp;form=skydnc</v>
    <v>Learn more on Bing</v>
  </rv>
  <rv s="1">
    <v>en-CA</v>
    <v>ab12w7</v>
    <v>268435456</v>
    <v>1</v>
    <v>Powered by Refinitiv</v>
    <v>0</v>
    <v>ROYAL BANK OF CANADA (XTSE:RY)</v>
    <v>2</v>
    <v>26</v>
    <v>Finance</v>
    <v>25</v>
    <v>240.34</v>
    <v>151.25</v>
    <v>0.93989999999999996</v>
    <v>-3.16</v>
    <v>-1.4057999999999999E-2</v>
    <v>CAD</v>
    <v>Royal Bank of Canada (RBC) is a global financial institution. Its business includes Personal &amp; Commercial Banking, Wealth Management, Capital Markets, and Insurance. The Personal &amp; Commercial Banking comprises its personal banking operations and certain retail investment businesses in Canada, the Caribbean and the United States, as well as its commercial and corporate banking operations in Canada and the Caribbean. Wealth Management provides a full suite of investment, trust and other wealth management solutions for businesses. Capital Markets provides public and private companies, institutional investors, governments and central banks globally with a range of capital markets products and services across its two main business lines: corporate and investment banking and global markets. Insurance offers a range of life, health, home, auto, travel, wealth and reinsurance advice and solutions, as well as creditor and business insurance services to individual, business and group clients.</v>
    <v>97469</v>
    <v>Toronto Stock Exchange</v>
    <v>XTSE</v>
    <v>XTSE</v>
    <v>Royal Bank Plaza, 200 Bay Street, TORONTO, ON, M5J2J5 CA</v>
    <v>222.99</v>
    <v>Banking Services</v>
    <v>Stock</v>
    <v>46087.862187500003</v>
    <v>91</v>
    <v>220.33</v>
    <v>309772915890</v>
    <v>ROYAL BANK OF CANADA</v>
    <v>ROYAL BANK OF CANADA</v>
    <v>222.04</v>
    <v>15.2041</v>
    <v>224.79</v>
    <v>221.63</v>
    <v>1397703000</v>
    <v>RY</v>
    <v>ROYAL BANK OF CANADA (XTSE:RY)</v>
    <v>1629450</v>
    <v>3357430</v>
    <v>1995</v>
  </rv>
  <rv s="2">
    <v>92</v>
  </rv>
  <rv s="0">
    <v>https://www.bing.com/financeapi/forcetrigger?t=ab17bh&amp;q=XTSE%3aSHOP&amp;form=skydnc</v>
    <v>Learn more on Bing</v>
  </rv>
  <rv s="1">
    <v>en-CA</v>
    <v>ab17bh</v>
    <v>268435456</v>
    <v>1</v>
    <v>Powered by Refinitiv</v>
    <v>0</v>
    <v>SHOPIFY INC. (XTSE:SHOP)</v>
    <v>2</v>
    <v>27</v>
    <v>Finance</v>
    <v>25</v>
    <v>253.1</v>
    <v>99.32</v>
    <v>2.8757999999999999</v>
    <v>-6.19</v>
    <v>-3.3593999999999999E-2</v>
    <v>CAD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7600</v>
    <v>Toronto Stock Exchange</v>
    <v>XTSE</v>
    <v>XTSE</v>
    <v>151 O'connor Street, Ground Floor, OTTAWA, ON, K2P 2L8 CA</v>
    <v>183.38</v>
    <v>Software &amp; IT Services</v>
    <v>Stock</v>
    <v>46087.862083333333</v>
    <v>94</v>
    <v>174.74</v>
    <v>214747958369</v>
    <v>SHOPIFY INC.</v>
    <v>SHOPIFY INC.</v>
    <v>178.43</v>
    <v>138.9717</v>
    <v>184.26</v>
    <v>178.07</v>
    <v>1304111000</v>
    <v>SHOP</v>
    <v>SHOPIFY INC. (XTSE:SHOP)</v>
    <v>1243901</v>
    <v>11598420</v>
    <v>2004</v>
  </rv>
  <rv s="2">
    <v>95</v>
  </rv>
  <rv s="0">
    <v>https://www.bing.com/financeapi/forcetrigger?t=a1ndww&amp;q=XNAS%3aAMD&amp;form=skydnc</v>
    <v>Learn more on Bing</v>
  </rv>
  <rv s="1">
    <v>en-CA</v>
    <v>a1ndww</v>
    <v>268435456</v>
    <v>1</v>
    <v>Powered by Refinitiv</v>
    <v>0</v>
    <v>ADVANCED MICRO DEVICES, INC. (XNAS:AMD)</v>
    <v>2</v>
    <v>3</v>
    <v>Finance</v>
    <v>4</v>
    <v>267.07990000000001</v>
    <v>76.48</v>
    <v>2.0215000000000001</v>
    <v>-7.12</v>
    <v>-3.5698000000000001E-2</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31000</v>
    <v>Nasdaq Stock Market</v>
    <v>XNAS</v>
    <v>XNAS</v>
    <v>2485 Augustine Drive, SANTA CLARA, CA, 95054 US</v>
    <v>200.24</v>
    <v>Semiconductors &amp; Semiconductor Equipment</v>
    <v>Stock</v>
    <v>46087.872647696095</v>
    <v>97</v>
    <v>191.2501</v>
    <v>313576947630</v>
    <v>ADVANCED MICRO DEVICES, INC.</v>
    <v>ADVANCED MICRO DEVICES, INC.</v>
    <v>195.2</v>
    <v>73.848100000000002</v>
    <v>199.45</v>
    <v>192.33</v>
    <v>1630411000</v>
    <v>AMD</v>
    <v>ADVANCED MICRO DEVICES, INC. (XNAS:AMD)</v>
    <v>27782701</v>
    <v>41666317</v>
    <v>1969</v>
  </rv>
  <rv s="2">
    <v>98</v>
  </rv>
  <rv s="0">
    <v>https://www.bing.com/financeapi/forcetrigger?t=a1ndlh&amp;q=XNYS%3aAMC&amp;form=skydnc</v>
    <v>Learn more on Bing</v>
  </rv>
  <rv s="1">
    <v>en-CA</v>
    <v>a1ndlh</v>
    <v>268435456</v>
    <v>1</v>
    <v>Powered by Refinitiv</v>
    <v>0</v>
    <v>AMC ENTERTAINMENT HOLDINGS, INC. (XNYS:AMC)</v>
    <v>2</v>
    <v>3</v>
    <v>Finance</v>
    <v>4</v>
    <v>4.08</v>
    <v>1.1000000000000001</v>
    <v>1.7990999999999999</v>
    <v>-4.4999999999999998E-2</v>
    <v>-3.7190000000000001E-2</v>
    <v>USD</v>
    <v>AMC Entertainment Holdings, Inc. is a movie exhibition company. The Company is principally involved in the theatrical exhibition business and owns, operates or has interests in theatres primarily located in the United States and Europe. The Company operates through two segments: U.S. markets and International markets. In the U.S. markets segment, it owns, leases or operates theatres in 41 states and the District of Columbia. The International markets segment has operations in or partial interest in theatres in the United Kingdom, Germany, Spain, Italy, Ireland, Portugal, Sweden, Finland, Norway, and Denmark. Its brands include AMC, AMC CLASSIC and others. It also offers food and beverage alternatives beyond traditional concession items, including collectible concession vessels, made-to-order meals, customized coffee, healthy snacks, beer, wine, premium cocktails, and dine-in theatre options. It operates approximately 870 theatres and 9,700 screens across the globe.</v>
    <v>2931</v>
    <v>New York Stock Exchange</v>
    <v>XNYS</v>
    <v>XNYS</v>
    <v>One Amc Way, 11500 Ash Street, LEAWOOD, KS, 66211 US</v>
    <v>1.2</v>
    <v>Hotels &amp; Entertainment Services</v>
    <v>Stock</v>
    <v>46087.8726092125</v>
    <v>100</v>
    <v>1.1499999999999999</v>
    <v>616922837</v>
    <v>AMC ENTERTAINMENT HOLDINGS, INC.</v>
    <v>AMC ENTERTAINMENT HOLDINGS, INC.</v>
    <v>1.19</v>
    <v>0</v>
    <v>1.21</v>
    <v>1.165</v>
    <v>529547500</v>
    <v>AMC</v>
    <v>AMC ENTERTAINMENT HOLDINGS, INC. (XNYS:AMC)</v>
    <v>21841824</v>
    <v>39449287</v>
    <v>2007</v>
  </rv>
  <rv s="2">
    <v>101</v>
  </rv>
  <rv s="0">
    <v>https://www.bing.com/financeapi/forcetrigger?t=aaz65r&amp;q=XTSE%3aMFC&amp;form=skydnc</v>
    <v>Learn more on Bing</v>
  </rv>
  <rv s="1">
    <v>en-CA</v>
    <v>aaz65r</v>
    <v>268435456</v>
    <v>1</v>
    <v>Powered by Refinitiv</v>
    <v>0</v>
    <v>MANULIFE FINANCIAL CORPORATION (XTSE:MFC)</v>
    <v>2</v>
    <v>26</v>
    <v>Finance</v>
    <v>25</v>
    <v>52.97</v>
    <v>36.93</v>
    <v>0.74890000000000001</v>
    <v>-1.17</v>
    <v>-2.4888E-2</v>
    <v>CAD</v>
    <v>Manulife Financial Corporation is an international financial services provider. It provides financial advice and insurance, operating as Manulife across Canada, Asia, and Europe, and primarily as John Hancock in the United States. Its segments include Wealth and asset management businesses (Global WAM), Insurance and annuity products (Asia, Canada and U.S.), and the Corporate and Other segment. Wealth and asset management businesses branded as Manulife Investment Management, provide investment advice and solutions to retirement, retail, and institutional clients. It also includes Manulife Comvest Credit Partners, a private credit asset management platform. Insurance and annuity products include a variety of individual life insurance, individual and group long-term care insurance and guaranteed and partially guaranteed annuity products. Products are distributed through multiple distribution channels, including insurance agents, brokers, banks, financial planners and direct marketing.</v>
    <v>37000</v>
    <v>Toronto Stock Exchange</v>
    <v>XTSE</v>
    <v>XTSE</v>
    <v>200 Bloor St East, Nt-10, TORONTO, ON, M4W 1E5 CA</v>
    <v>46.6</v>
    <v>Insurance</v>
    <v>Stock</v>
    <v>46087.862083333333</v>
    <v>103</v>
    <v>45.585000000000001</v>
    <v>76862311680</v>
    <v>MANULIFE FINANCIAL CORPORATION</v>
    <v>MANULIFE FINANCIAL CORPORATION</v>
    <v>46.54</v>
    <v>14.863300000000001</v>
    <v>47.01</v>
    <v>45.84</v>
    <v>1676752000</v>
    <v>MFC</v>
    <v>MANULIFE FINANCIAL CORPORATION (XTSE:MFC)</v>
    <v>2652167</v>
    <v>9210950</v>
    <v>1999</v>
  </rv>
  <rv s="2">
    <v>104</v>
  </rv>
  <rv s="0">
    <v>https://www.bing.com/financeapi/forcetrigger?t=aayym7&amp;q=XTSE%3aK&amp;form=skydnc</v>
    <v>Learn more on Bing</v>
  </rv>
  <rv s="1">
    <v>en-CA</v>
    <v>aayym7</v>
    <v>268435456</v>
    <v>1</v>
    <v>Powered by Refinitiv</v>
    <v>0</v>
    <v>KINROSS GOLD CORPORATION (XTSE:K)</v>
    <v>2</v>
    <v>26</v>
    <v>Finance</v>
    <v>25</v>
    <v>53.57</v>
    <v>15.09</v>
    <v>1.3531</v>
    <v>-0.8</v>
    <v>-1.7873E-2</v>
    <v>CAD</v>
    <v>Kinross Gold Corporation is a gold mining company with operations and projects in the United States, Brazil, Mauritania, Chile and Canada. The Company is engaged in gold mining and related activities, including exploration and acquisition of gold-bearing properties, the extraction and processing of gold-containing ore, and reclamation of gold mining properties. Its operations and projects include Fort Knox, Round Mountain, Bald Mountain, Manh Choh, Paracatu, La Coipa, Tasiast, and the Great Bear project, among others. Fort Knox is an open-pit gold mine located near the city of Fairbanks, Alaska. Round Mountain is an open-pit mine located in Nevada. Paracatu is a cornerstone operation located near the city of Paracatu in Brazil’s Minas Gerais region. The Tasiast mine is an open-pit operation located in northwestern Mauritania. The La Coipa mine is located in the Atacama region in Chile. The Great Bear is a development project in Canada.</v>
    <v>6600</v>
    <v>Toronto Stock Exchange</v>
    <v>XTSE</v>
    <v>XTSE</v>
    <v>25 York Street,, 17th Floor, TORONTO, ON, M5J 2V5 CA</v>
    <v>44.67</v>
    <v>Metals &amp; Mining</v>
    <v>Stock</v>
    <v>46087.86215277778</v>
    <v>106</v>
    <v>43.26</v>
    <v>52745098280</v>
    <v>KINROSS GOLD CORPORATION</v>
    <v>KINROSS GOLD CORPORATION</v>
    <v>43.47</v>
    <v>16.371500000000001</v>
    <v>44.76</v>
    <v>43.96</v>
    <v>1199843000</v>
    <v>K</v>
    <v>KINROSS GOLD CORPORATION (XTSE:K)</v>
    <v>1746143</v>
    <v>4875370</v>
    <v>2025</v>
  </rv>
  <rv s="2">
    <v>107</v>
  </rv>
  <rv s="0">
    <v>https://www.bing.com/financeapi/forcetrigger?t=a21mim&amp;q=XNAS%3aQQQ&amp;form=skydnc</v>
    <v>Learn more on Bing</v>
  </rv>
  <rv s="14">
    <v>en-CA</v>
    <v>a21mim</v>
    <v>268435456</v>
    <v>1</v>
    <v>Powered by Refinitiv</v>
    <v>28</v>
    <v>Invesco QQQ Trust 1 (XNAS:QQQ)</v>
    <v>29</v>
    <v>30</v>
    <v>Finance</v>
    <v>31</v>
    <v>637.01</v>
    <v>402.39</v>
    <v>0.97199999999999998</v>
    <v>-8.99</v>
    <v>-1.4763999999999999E-2</v>
    <v>USD</v>
    <v>Nasdaq Stock Market</v>
    <v>XNAS</v>
    <v>1.8E-3</v>
    <v>605.99</v>
    <v>ETF</v>
    <v>46087.872674258593</v>
    <v>109</v>
    <v>598.37</v>
    <v>395032884760.46002</v>
    <v>Invesco QQQ Trust 1</v>
    <v>600.27</v>
    <v>608.91</v>
    <v>599.91999999999996</v>
    <v>QQQ</v>
    <v>Invesco QQQ Trust 1 (XNAS:QQQ)</v>
    <v>80904716</v>
    <v>71403128</v>
  </rv>
  <rv s="2">
    <v>110</v>
  </rv>
  <rv s="0">
    <v>https://www.bing.com/financeapi/forcetrigger?t=a23imw&amp;q=XNAS%3aSQQQ&amp;form=skydnc</v>
    <v>Learn more on Bing</v>
  </rv>
  <rv s="14">
    <v>en-CA</v>
    <v>a23imw</v>
    <v>268435456</v>
    <v>1</v>
    <v>Powered by Refinitiv</v>
    <v>28</v>
    <v>ProShares:UltP Sht QQQ (XNAS:SQQQ)</v>
    <v>29</v>
    <v>30</v>
    <v>Finance</v>
    <v>31</v>
    <v>289</v>
    <v>61.72</v>
    <v>-2.8466</v>
    <v>3.1768000000000001</v>
    <v>4.5214999999999998E-2</v>
    <v>USD</v>
    <v>Nasdaq Stock Market</v>
    <v>XNAS</v>
    <v>9.4999999999999998E-3</v>
    <v>73.95</v>
    <v>ETF</v>
    <v>46087.8726589</v>
    <v>112</v>
    <v>71.33</v>
    <v>2292852431.0999999</v>
    <v>ProShares:UltP Sht QQQ</v>
    <v>73.33</v>
    <v>70.260000000000005</v>
    <v>73.436800000000005</v>
    <v>SQQQ</v>
    <v>ProShares:UltP Sht QQQ (XNAS:SQQQ)</v>
    <v>57751215</v>
    <v>63283920</v>
  </rv>
  <rv s="2">
    <v>113</v>
  </rv>
  <rv s="0">
    <v>https://www.bing.com/financeapi/forcetrigger?t=c6t4a2&amp;q=XNAS%3aTSLQ&amp;form=skydnc</v>
    <v>Learn more on Bing</v>
  </rv>
  <rv s="14">
    <v>en-CA</v>
    <v>c6t4a2</v>
    <v>268435456</v>
    <v>1</v>
    <v>Powered by Refinitiv</v>
    <v>28</v>
    <v>Tradr 2X Short TSLA Dl (XNAS:TSLQ)</v>
    <v>29</v>
    <v>30</v>
    <v>Finance</v>
    <v>31</v>
    <v>218.92500000000001</v>
    <v>14.775</v>
    <v>-2.5049999999999999</v>
    <v>0.91500000000000004</v>
    <v>4.3139999999999998E-2</v>
    <v>USD</v>
    <v>Nasdaq Stock Market</v>
    <v>XNAS</v>
    <v>1.1699999999999999E-2</v>
    <v>22.38</v>
    <v>ETF</v>
    <v>46087.872641990623</v>
    <v>115</v>
    <v>21.530100000000001</v>
    <v>178714441.75999999</v>
    <v>Tradr 2X Short TSLA Dl</v>
    <v>21.98</v>
    <v>21.21</v>
    <v>22.125</v>
    <v>TSLQ</v>
    <v>Tradr 2X Short TSLA Dl (XNAS:TSLQ)</v>
    <v>11584159</v>
    <v>13763463</v>
  </rv>
  <rv s="2">
    <v>116</v>
  </rv>
  <rv s="15">
    <v>en-CA</v>
    <v>cb9erw</v>
    <v>268435456</v>
    <v>1</v>
    <v>Powered by Refinitiv</v>
    <v>32</v>
    <v>T-REX 2X Inv NVIDIA DT (BATS:NVDQ)</v>
    <v>33</v>
    <v>34</v>
    <v>Finance</v>
    <v>31</v>
    <v>112.6</v>
    <v>13.78</v>
    <v>0.97499999999999998</v>
    <v>5.9743000000000004E-2</v>
    <v>USD</v>
    <v>CBOE BZX Exchange</v>
    <v>BATS</v>
    <v>1.0500000000000001E-2</v>
    <v>17.489999999999998</v>
    <v>ETF</v>
    <v>46087.872510555469</v>
    <v>16.4514</v>
    <v>35779962.299999997</v>
    <v>T-REX 2X Inv NVIDIA DT</v>
    <v>16.97</v>
    <v>16.32</v>
    <v>17.295000000000002</v>
    <v>NVDQ</v>
    <v>T-REX 2X Inv NVIDIA DT (BATS:NVDQ)</v>
    <v>2267853</v>
    <v>3014755</v>
  </rv>
  <rv s="2">
    <v>118</v>
  </rv>
  <rv s="0">
    <v>https://www.bing.com/financeapi/forcetrigger?t=a1mou2&amp;q=XNAS%3aAAPL&amp;form=skydnc</v>
    <v>Learn more on Bing</v>
  </rv>
  <rv s="1">
    <v>en-CA</v>
    <v>a1mou2</v>
    <v>268435456</v>
    <v>1</v>
    <v>Powered by Refinitiv</v>
    <v>0</v>
    <v>APPLE INC. (XNAS:AAPL)</v>
    <v>2</v>
    <v>3</v>
    <v>Finance</v>
    <v>4</v>
    <v>288.62</v>
    <v>169.21010000000001</v>
    <v>1.1175999999999999</v>
    <v>-2.73</v>
    <v>-1.0487999999999999E-2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258.76</v>
    <v>Computers, Phones &amp; Household Electronics</v>
    <v>Stock</v>
    <v>46087.872685428127</v>
    <v>120</v>
    <v>254.37</v>
    <v>3786827412000</v>
    <v>APPLE INC.</v>
    <v>APPLE INC.</v>
    <v>258.69</v>
    <v>32.722200000000001</v>
    <v>260.29000000000002</v>
    <v>257.56</v>
    <v>14702700000</v>
    <v>AAPL</v>
    <v>APPLE INC. (XNAS:AAPL)</v>
    <v>25211021</v>
    <v>52739044</v>
    <v>1977</v>
  </rv>
  <rv s="2">
    <v>121</v>
  </rv>
  <rv s="0">
    <v>https://www.bing.com/financeapi/forcetrigger?t=booiyc&amp;q=TD+Comfort+Balanced+Growth+Portfolio+Series+D&amp;form=skydnc</v>
    <v>Learn more on Bing</v>
  </rv>
  <rv s="16">
    <v>en-CA</v>
    <v>booiyc</v>
    <v>268435456</v>
    <v>1</v>
    <v>Powered by Refinitiv</v>
    <v>35</v>
    <v>TD Comfort Balanced Growth Portfolio Series D</v>
    <v>36</v>
    <v>37</v>
    <v>Finance</v>
    <v>38</v>
    <v>-0.09</v>
    <v>-5.7840000000000001E-3</v>
    <v>CA</v>
    <v>CAD</v>
    <v>1.18E-2</v>
    <v>Mutual Fund</v>
    <v>46086</v>
    <v>46087.840282485937</v>
    <v>123</v>
    <v>TD Comfort Balanced Growth Portfolio Series D</v>
    <v>9152264816</v>
    <v>15.56</v>
    <v>15.47</v>
    <v>1.8863000000000001</v>
    <v>9.1319999999999995E-3</v>
    <v>-1.9023000000000002E-2</v>
    <v>8.8797000000000001E-2</v>
    <v>1.6493999999999998E-2</v>
    <v>0.107963</v>
    <v>7.2995000000000004E-2</v>
    <v>1.7094000000000002E-2</v>
    <v>TDB3540</v>
    <v>TD Comfort Balanced Growth Portfolio Series D</v>
  </rv>
  <rv s="2">
    <v>124</v>
  </rv>
  <rv s="0">
    <v>https://www.bing.com/financeapi/forcetrigger?t=aax5gh&amp;q=XTSE%3aBMO&amp;form=skydnc</v>
    <v>Learn more on Bing</v>
  </rv>
  <rv s="1">
    <v>en-CA</v>
    <v>aax5gh</v>
    <v>268435456</v>
    <v>1</v>
    <v>Powered by Refinitiv</v>
    <v>0</v>
    <v>BANK OF MONTREAL (XTSE:BMO)</v>
    <v>2</v>
    <v>26</v>
    <v>Finance</v>
    <v>25</v>
    <v>204.57</v>
    <v>121.31</v>
    <v>1.1547000000000001</v>
    <v>-4.0999999999999996</v>
    <v>-2.0823000000000001E-2</v>
    <v>CAD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53000</v>
    <v>Toronto Stock Exchange</v>
    <v>XTSE</v>
    <v>XTSE</v>
    <v>1 First Canadian Place, TORONTO, ON, M5X 1A1 CA</v>
    <v>194.53</v>
    <v>Banking Services</v>
    <v>Stock</v>
    <v>46087.862233796295</v>
    <v>126</v>
    <v>191.7</v>
    <v>136418030720</v>
    <v>BANK OF MONTREAL</v>
    <v>BANK OF MONTREAL</v>
    <v>194</v>
    <v>16.0625</v>
    <v>196.9</v>
    <v>192.8</v>
    <v>707562400</v>
    <v>BMO</v>
    <v>BANK OF MONTREAL (XTSE:BMO)</v>
    <v>1127961</v>
    <v>2387290</v>
    <v>1995</v>
  </rv>
  <rv s="2">
    <v>127</v>
  </rv>
  <rv s="0">
    <v>https://www.bing.com/financeapi/forcetrigger?t=c2mtww&amp;q=XNAS%3aHOOD&amp;form=skydnc</v>
    <v>Learn more on Bing</v>
  </rv>
  <rv s="1">
    <v>en-CA</v>
    <v>c2mtww</v>
    <v>268435456</v>
    <v>1</v>
    <v>Powered by Refinitiv</v>
    <v>0</v>
    <v>ROBINHOOD MARKETS, INC. (XNAS:HOOD)</v>
    <v>2</v>
    <v>3</v>
    <v>Finance</v>
    <v>4</v>
    <v>153.85990000000001</v>
    <v>29.66</v>
    <v>2.468</v>
    <v>-3.4849999999999999</v>
    <v>-4.3259999999999993E-2</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2900</v>
    <v>Nasdaq Stock Market</v>
    <v>XNAS</v>
    <v>XNAS</v>
    <v>85 Willow Road, MENLO PARK, CA, 94025 US</v>
    <v>79</v>
    <v>Financial Technology (Fintech) &amp; Infrastructure</v>
    <v>Stock</v>
    <v>46087.872660416404</v>
    <v>129</v>
    <v>76.38</v>
    <v>69391269930</v>
    <v>ROBINHOOD MARKETS, INC.</v>
    <v>ROBINHOOD MARKETS, INC.</v>
    <v>77.91</v>
    <v>43.116500000000002</v>
    <v>80.56</v>
    <v>77.075000000000003</v>
    <v>900308400</v>
    <v>HOOD</v>
    <v>ROBINHOOD MARKETS, INC. (XNAS:HOOD)</v>
    <v>26443626</v>
    <v>37973010</v>
    <v>2013</v>
  </rv>
  <rv s="2">
    <v>130</v>
  </rv>
  <rv s="0">
    <v>https://www.bing.com/financeapi/forcetrigger?t=ab24k2&amp;q=XTSE%3aZDV&amp;form=skydnc</v>
    <v>Learn more on Bing</v>
  </rv>
  <rv s="17">
    <v>en-CA</v>
    <v>ab24k2</v>
    <v>268435456</v>
    <v>1</v>
    <v>Powered by Refinitiv</v>
    <v>39</v>
    <v>BMO Canadian Dividend ETF (XTSE:ZDV)</v>
    <v>29</v>
    <v>40</v>
    <v>Finance</v>
    <v>25</v>
    <v>30.66</v>
    <v>20.399999999999999</v>
    <v>0.96140000000000003</v>
    <v>-0.34</v>
    <v>-1.133E-2</v>
    <v>CAD</v>
    <v>Toronto Stock Exchange</v>
    <v>XTSE</v>
    <v>3.9000000000000003E-3</v>
    <v>29.86</v>
    <v>ETF</v>
    <v>46087.861388888887</v>
    <v>132</v>
    <v>29.56</v>
    <v>1623349916.5599999</v>
    <v>BMO Canadian Dividend ETF</v>
    <v>29.82</v>
    <v>30.01</v>
    <v>29.67</v>
    <v>ZDV</v>
    <v>BMO Canadian Dividend ETF (XTSE:ZDV)</v>
    <v>53889</v>
  </rv>
  <rv s="2">
    <v>133</v>
  </rv>
  <rv s="0">
    <v>https://www.bing.com/financeapi/forcetrigger?t=bwyo5r&amp;q=XNAS%3aGRAB&amp;form=skydnc</v>
    <v>Learn more on Bing</v>
  </rv>
  <rv s="1">
    <v>en-CA</v>
    <v>bwyo5r</v>
    <v>268435456</v>
    <v>1</v>
    <v>Powered by Refinitiv</v>
    <v>0</v>
    <v>GRAB HOLDINGS LIMITED (XNAS:GRAB)</v>
    <v>2</v>
    <v>3</v>
    <v>Finance</v>
    <v>4</v>
    <v>6.62</v>
    <v>3.36</v>
    <v>0.9647</v>
    <v>-5.5E-2</v>
    <v>-1.3648E-2</v>
    <v>USD</v>
    <v>Grab Holdings Limited is a superapp in Southeast Asia, operating across the deliveries, mobility and digital financial services sectors. Its deliveries platform connects its driver and merchant partners with consumers to create a local logistics platform, facilitating on-demand and scheduled delivery of daily necessities. It operates supermarkets in Malaysia under Jaya Grocer and Everrise. Its mobility offerings connect its driver-partners with consumers seeking rides across a variety of multi-modal mobility options including private cars, taxis, motorcycles in certain countries, and shared mobility options such as carpooling in selected markets. Its financial services offerings include digital solutions offered by and with its partners to address the financial needs of driver- and merchant-partners and consumers. GrabMaps is its mapping and location-based service. It serves countries such as Cambodia, Indonesia, Malaysia, Myanmar, Philippines, Singapore, Thailand, and Vietnam.</v>
    <v>11267</v>
    <v>Nasdaq Stock Market</v>
    <v>XNAS</v>
    <v>XNAS</v>
    <v>3 Media Close, #01-03/06, 138498 SG</v>
    <v>4.04</v>
    <v>Software &amp; IT Services</v>
    <v>Stock</v>
    <v>46087.872667997653</v>
    <v>135</v>
    <v>3.97</v>
    <v>16299415950</v>
    <v>GRAB HOLDINGS LIMITED</v>
    <v>GRAB HOLDINGS LIMITED</v>
    <v>4</v>
    <v>64.739400000000003</v>
    <v>4.03</v>
    <v>3.9750000000000001</v>
    <v>4100482000</v>
    <v>GRAB</v>
    <v>GRAB HOLDINGS LIMITED (XNAS:GRAB)</v>
    <v>25920738</v>
    <v>47059188</v>
    <v>2021</v>
  </rv>
  <rv s="2">
    <v>136</v>
  </rv>
  <rv s="0">
    <v>https://www.bing.com/financeapi/forcetrigger?t=bvsk7w&amp;q=XNYS%3aPLTR&amp;form=skydnc</v>
    <v>Learn more on Bing</v>
  </rv>
  <rv s="1">
    <v>en-CA</v>
    <v>bvsk7w</v>
    <v>268435456</v>
    <v>1</v>
    <v>Powered by Refinitiv</v>
    <v>0</v>
    <v>PALANTIR TECHNOLOGIES INC. (XNAS:PLTR)</v>
    <v>2</v>
    <v>3</v>
    <v>Finance</v>
    <v>4</v>
    <v>207.52</v>
    <v>66.12</v>
    <v>1.7245999999999999</v>
    <v>4.5750000000000002</v>
    <v>2.9967000000000001E-2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161.44999999999999</v>
    <v>Software &amp; IT Services</v>
    <v>Stock</v>
    <v>46087.872680080465</v>
    <v>138</v>
    <v>150.2963</v>
    <v>375921061395</v>
    <v>PALANTIR TECHNOLOGIES INC.</v>
    <v>PALANTIR TECHNOLOGIES INC.</v>
    <v>150.44</v>
    <v>248.49080000000001</v>
    <v>152.66999999999999</v>
    <v>157.245</v>
    <v>2390671000</v>
    <v>PLTR</v>
    <v>PALANTIR TECHNOLOGIES INC. (XNAS:PLTR)</v>
    <v>67723411</v>
    <v>62609271</v>
    <v>2003</v>
  </rv>
  <rv s="2">
    <v>139</v>
  </rv>
  <rv s="0">
    <v>https://www.bing.com/financeapi/forcetrigger?t=a1ygoc&amp;q=XNAS%3aNFLX&amp;form=skydnc</v>
    <v>Learn more on Bing</v>
  </rv>
  <rv s="1">
    <v>en-CA</v>
    <v>a1ygoc</v>
    <v>268435456</v>
    <v>1</v>
    <v>Powered by Refinitiv</v>
    <v>0</v>
    <v>NETFLIX, INC. (XNAS:NFLX)</v>
    <v>2</v>
    <v>3</v>
    <v>Finance</v>
    <v>4</v>
    <v>134.11500000000001</v>
    <v>75.010000000000005</v>
    <v>1.7072000000000001</v>
    <v>-0.155</v>
    <v>-1.5629999999999999E-3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99.88</v>
    <v>Software &amp; IT Services</v>
    <v>Stock</v>
    <v>46087.872688599222</v>
    <v>141</v>
    <v>97.4</v>
    <v>418057370430</v>
    <v>NETFLIX, INC.</v>
    <v>NETFLIX, INC.</v>
    <v>99.45</v>
    <v>39.179699999999997</v>
    <v>99.17</v>
    <v>99.015000000000001</v>
    <v>4222162000</v>
    <v>NFLX</v>
    <v>NETFLIX, INC. (XNAS:NFLX)</v>
    <v>33882440</v>
    <v>54890901</v>
    <v>1997</v>
  </rv>
  <rv s="2">
    <v>142</v>
  </rv>
  <rv s="0">
    <v>https://www.bing.com/financeapi/forcetrigger?t=bpocw7&amp;q=XNAS%3aBYND&amp;form=skydnc</v>
    <v>Learn more on Bing</v>
  </rv>
  <rv s="1">
    <v>en-CA</v>
    <v>bpocw7</v>
    <v>268435456</v>
    <v>1</v>
    <v>Powered by Refinitiv</v>
    <v>0</v>
    <v>BEYOND MEAT, INC. (XNAS:BYND)</v>
    <v>2</v>
    <v>3</v>
    <v>Finance</v>
    <v>4</v>
    <v>7.69</v>
    <v>0.50009999999999999</v>
    <v>2.6690999999999998</v>
    <v>7.6E-3</v>
    <v>9.776E-3</v>
    <v>USD</v>
    <v>Beyond Meat, Inc. is a plant-based meat company offering a portfolio of plant-based meats. The Company sells a range of plant-based meat products across its three core platforms of beef, pork and poultry. The primary components of animal-based meat are amino acids, lipids, carbohydrates, trace minerals and water, which are not exclusive to animals and are plentiful in plants. Its beef platform products contain protein primarily derived from one or a combination of pea protein, rice protein, faba bean protein and wheat gluten. Its pork platform products include Beyond Sausage, Beyond Breakfast Sausage Patties, Beyond Breakfast Sausage Links and Beyond Sausage Crumbles. Its poultry platform consists of products that mimic animal-based chicken in its various merchandised forms, including chicken tenders, chicken nuggets and popcorn chicken. Its primary products under its poultry platform include Beyond Chicken Tenders, Beyond Chicken Nuggets and Beyond Popcorn Chicken.</v>
    <v>754</v>
    <v>Nasdaq Stock Market</v>
    <v>XNAS</v>
    <v>XNAS</v>
    <v>888 N. DOUGLAS STREET, SUITE 100, EL SEGUNDO, CA, 90245 US</v>
    <v>0.79100000000000004</v>
    <v>Food &amp; Tobacco</v>
    <v>Stock</v>
    <v>46087.872635520311</v>
    <v>144</v>
    <v>0.75</v>
    <v>356052607</v>
    <v>BEYOND MEAT, INC.</v>
    <v>BEYOND MEAT, INC.</v>
    <v>0.76200000000000001</v>
    <v>0</v>
    <v>0.77739999999999998</v>
    <v>0.78500000000000003</v>
    <v>453570200</v>
    <v>BYND</v>
    <v>BEYOND MEAT, INC. (XNAS:BYND)</v>
    <v>17507558</v>
    <v>34121155</v>
    <v>2008</v>
  </rv>
  <rv s="2">
    <v>145</v>
  </rv>
  <rv s="0">
    <v>https://www.bing.com/financeapi/forcetrigger?t=aaxjc7&amp;q=XTSE%3aCM&amp;form=skydnc</v>
    <v>Learn more on Bing</v>
  </rv>
  <rv s="1">
    <v>en-CA</v>
    <v>aaxjc7</v>
    <v>268435456</v>
    <v>1</v>
    <v>Powered by Refinitiv</v>
    <v>0</v>
    <v>CANADIAN IMPERIAL BANK OF COMMERCE (XTSE:CM)</v>
    <v>2</v>
    <v>26</v>
    <v>Finance</v>
    <v>25</v>
    <v>143.80000000000001</v>
    <v>76.17</v>
    <v>1.2758</v>
    <v>-2.36</v>
    <v>-1.7204999999999998E-2</v>
    <v>CAD</v>
    <v>Canadian Imperial Bank of Commerce is a North American financial institution. The Company's segments include Canadian Personal and Business Banking, Canadian Commercial Banking and Wealth Management, U.S. Commercial Banking and Wealth Management, and Capital Markets. Canadian Personal and Business Banking segment provides personal and business clients across Canada with financial advice, services and solutions through banking centers, mobile and online channels. Canadian Commercial Banking and Wealth Management segment provides relationship-oriented banking and wealth management services. U.S. Commercial Banking and Wealth Management segment is focused on middle-market and mid-corporate companies, entrepreneurs, high-net-worth individuals and families, as well as operating personal and small business banking services in six United States markets. Capital Markets segment provides integrated global markets products and services, investment banking and corporate banking solutions.</v>
    <v>50469</v>
    <v>Toronto Stock Exchange</v>
    <v>XTSE</v>
    <v>XTSE</v>
    <v>81 Bay Street, CIBC Square,, TORONTO, ON, M5J 0E7 CA</v>
    <v>135.93</v>
    <v>Banking Services</v>
    <v>Stock</v>
    <v>46087.861944444441</v>
    <v>147</v>
    <v>134.38</v>
    <v>124072383500</v>
    <v>CANADIAN IMPERIAL BANK OF COMMERCE</v>
    <v>CANADIAN IMPERIAL BANK OF COMMERCE</v>
    <v>135.80000000000001</v>
    <v>14.056100000000001</v>
    <v>137.16999999999999</v>
    <v>134.81</v>
    <v>920350000</v>
    <v>CM</v>
    <v>CANADIAN IMPERIAL BANK OF COMMERCE (XTSE:CM)</v>
    <v>1144133</v>
    <v>2754810</v>
    <v>1995</v>
  </rv>
  <rv s="2">
    <v>148</v>
  </rv>
  <rv s="18">
    <v>en-CA</v>
    <v>ccgtzr</v>
    <v>268435456</v>
    <v>1</v>
    <v>Powered by Refinitiv</v>
    <v>41</v>
    <v>Evolve Canadian Banks and Lifecos Enhan Yd In Fd F</v>
    <v>42</v>
    <v>37</v>
    <v>Finance</v>
    <v>38</v>
    <v>7.7899999999999997E-2</v>
    <v>8.0840000000000009E-3</v>
    <v>CA</v>
    <v>CAD</v>
    <v>8.5000000000000006E-3</v>
    <v>Mutual Fund</v>
    <v>46085</v>
    <v>46086.836342351562</v>
    <v>Evolve Canadian Banks and Lifecos Enhan Yd In Fd F</v>
    <v>3290112</v>
    <v>9.6365999999999996</v>
    <v>9.7144999999999992</v>
    <v>0</v>
    <v>2.7111E-2</v>
    <v>-1.0688E-2</v>
    <v>0.46077199999999996</v>
    <v>6.5363000000000004E-2</v>
    <v>0</v>
    <v>0</v>
    <v>2.6110999999999999E-2</v>
    <v>EVF180</v>
    <v>Evolve Canadian Banks and Lifecos Enhan Yd In Fd F</v>
  </rv>
  <rv s="2">
    <v>150</v>
  </rv>
  <rv s="0">
    <v>https://www.bing.com/financeapi/forcetrigger?t=a1u3rw&amp;q=XNAS%3aGOOGL&amp;form=skydnc</v>
    <v>Learn more on Bing</v>
  </rv>
  <rv s="1">
    <v>en-CA</v>
    <v>a1u3rw</v>
    <v>268435456</v>
    <v>1</v>
    <v>Powered by Refinitiv</v>
    <v>0</v>
    <v>ALPHABET INC. (XNAS:GOOGL)</v>
    <v>2</v>
    <v>3</v>
    <v>Finance</v>
    <v>4</v>
    <v>349</v>
    <v>140.53</v>
    <v>1.1174999999999999</v>
    <v>-2.79</v>
    <v>-9.273E-3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300.52999999999997</v>
    <v>Software &amp; IT Services</v>
    <v>Stock</v>
    <v>46087.872658865628</v>
    <v>152</v>
    <v>295.18</v>
    <v>3605994729999</v>
    <v>ALPHABET INC.</v>
    <v>ALPHABET INC.</v>
    <v>296.14999999999998</v>
    <v>27.575399999999998</v>
    <v>300.88</v>
    <v>298.08999999999997</v>
    <v>12097000000</v>
    <v>GOOGL</v>
    <v>ALPHABET INC. (XNAS:GOOGL)</v>
    <v>19853993</v>
    <v>40617166</v>
    <v>2015</v>
  </rv>
  <rv s="2">
    <v>153</v>
  </rv>
  <rv s="0">
    <v>https://www.bing.com/financeapi/forcetrigger?t=ab1dcw&amp;q=XTSE%3aTD&amp;form=skydnc</v>
    <v>Learn more on Bing</v>
  </rv>
  <rv s="1">
    <v>en-CA</v>
    <v>ab1dcw</v>
    <v>268435456</v>
    <v>1</v>
    <v>Powered by Refinitiv</v>
    <v>0</v>
    <v>THE TORONTO-DOMINION BANK (XTSE:TD)</v>
    <v>2</v>
    <v>26</v>
    <v>Finance</v>
    <v>25</v>
    <v>136.49</v>
    <v>78.06</v>
    <v>0.84830000000000005</v>
    <v>-3.38</v>
    <v>-2.5455999999999999E-2</v>
    <v>CAD</v>
    <v>The Toronto-Dominion Bank (the Bank) operates as a bank in North America. The Bank, along with subsidiaries, operates across four main business segments: Canadian Personal and Commercial Banking, the United States (U.S.) Retail, Wealth Management and Insurance, and Wholesale Banking. The Canadian Personal and Commercial Banking, which includes TD Canada Trust and TD Auto Finance Canada. The U.S. Retail segment includes TD Bank, a Convenient Bank, TD Auto Finance U.S., and TD Wealth (U.S.). The Wealth Management and Insurance segment includes TD Wealth (Canada), TD Direct Investing, and TD Insurance. The Wholesale Banking segment includes TD Securities and TD Cowen. The Bank offers a wide range of products and services, including banking accounts, financing, investment solutions, cash management (information, consolidation and reporting, payables, and receivables), U.S. banking services, global services, business credit life insurance, wealth advisory services and others.</v>
    <v>103257</v>
    <v>Toronto Stock Exchange</v>
    <v>XTSE</v>
    <v>XTSE</v>
    <v>Toronto-Dominion Centre,, King Street West and Bay Street,, TORONTO, ON, M5K 1A2 CA</v>
    <v>131.02000000000001</v>
    <v>Banking Services</v>
    <v>Stock</v>
    <v>46087.862233796295</v>
    <v>155</v>
    <v>129.28</v>
    <v>217179007600</v>
    <v>THE TORONTO-DOMINION BANK</v>
    <v>THE TORONTO-DOMINION BANK</v>
    <v>131.02000000000001</v>
    <v>11.0809</v>
    <v>132.78</v>
    <v>129.4</v>
    <v>1678354000</v>
    <v>TD</v>
    <v>THE TORONTO-DOMINION BANK (XTSE:TD)</v>
    <v>2397012</v>
    <v>4176360</v>
    <v>1995</v>
  </rv>
  <rv s="2">
    <v>156</v>
  </rv>
  <rv s="0">
    <v>https://www.bing.com/financeapi/forcetrigger?t=ab1vbh&amp;q=XTSE%3aXDIV&amp;form=skydnc</v>
    <v>Learn more on Bing</v>
  </rv>
  <rv s="17">
    <v>en-CA</v>
    <v>ab1vbh</v>
    <v>268435456</v>
    <v>1</v>
    <v>Powered by Refinitiv</v>
    <v>39</v>
    <v>iShs MSCI CA Qual Div Indx ETF (XTSE:XDIV)</v>
    <v>29</v>
    <v>40</v>
    <v>Finance</v>
    <v>25</v>
    <v>38.92</v>
    <v>27.84</v>
    <v>0.77639999999999998</v>
    <v>-0.45</v>
    <v>-1.1639999999999999E-2</v>
    <v>CAD</v>
    <v>Toronto Stock Exchange</v>
    <v>XTSE</v>
    <v>1.1000000000000001E-3</v>
    <v>38.56</v>
    <v>ETF</v>
    <v>46087.862164351849</v>
    <v>158</v>
    <v>38.15</v>
    <v>4309857673.8599997</v>
    <v>iShs MSCI CA Qual Div Indx ETF</v>
    <v>38.56</v>
    <v>38.659999999999997</v>
    <v>38.21</v>
    <v>XDIV</v>
    <v>iShs MSCI CA Qual Div Indx ETF (XTSE:XDIV)</v>
    <v>565433</v>
  </rv>
  <rv s="2">
    <v>159</v>
  </rv>
</rvData>
</file>

<file path=xl/richData/rdrichvaluestructure.xml><?xml version="1.0" encoding="utf-8"?>
<rvStructures xmlns="http://schemas.microsoft.com/office/spreadsheetml/2017/richdata" count="1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error">
    <k n="errorType" t="i"/>
    <k n="field" t="s"/>
    <k n="subType" t="i"/>
  </s>
  <s t="_error">
    <k n="errorType" t="i"/>
    <k n="propagated" t="b"/>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Name" t="s"/>
    <k n="Net assets"/>
    <k n="Previous close"/>
    <k n="Price"/>
    <k n="Rating"/>
    <k n="Return (1m)"/>
    <k n="Return (1w)"/>
    <k n="Return (1y)"/>
    <k n="Return (3m)"/>
    <k n="Return (3y)"/>
    <k n="Return (5y)"/>
    <k n="Return (YTD)"/>
    <k n="Ticker symbol" t="s"/>
    <k n="UniqueName" t="s"/>
  </s>
</rvStructures>
</file>

<file path=xl/richData/rdsupportingpropertybag.xml><?xml version="1.0" encoding="utf-8"?>
<supportingPropertyBags xmlns="http://schemas.microsoft.com/office/spreadsheetml/2017/richdata2">
  <spbArrays count="1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v t="s">%OutdatedReason</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3">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%ProviderInfo</v>
    </a>
  </spbArrays>
  <spbData count="4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4">
      <v>Delayed 15 minutes</v>
      <v>from previous close</v>
      <v>from previous close</v>
      <v>Source: Nasdaq</v>
      <v>GMT</v>
    </spb>
    <spb s="0">
      <v>2</v>
      <v>Name</v>
      <v>LearnMoreOnLink</v>
    </spb>
    <spb s="5">
      <v>1</v>
      <v>2</v>
      <v>1</v>
      <v>3</v>
      <v>1</v>
      <v>1</v>
      <v>1</v>
      <v>4</v>
      <v>4</v>
      <v>5</v>
      <v>6</v>
      <v>1</v>
      <v>1</v>
      <v>1</v>
      <v>4</v>
      <v>7</v>
      <v>8</v>
      <v>9</v>
      <v>4</v>
    </spb>
    <spb s="0">
      <v>3</v>
      <v>Name</v>
      <v>LearnMoreOnLink</v>
    </spb>
    <spb s="6">
      <v>0</v>
      <v>0</v>
    </spb>
    <spb s="7">
      <v>10</v>
      <v>1</v>
      <v>1</v>
      <v>1</v>
      <v>1</v>
    </spb>
    <spb s="8">
      <v>1</v>
      <v>2</v>
      <v>2</v>
      <v>1</v>
      <v>3</v>
      <v>1</v>
      <v>10</v>
      <v>1</v>
      <v>1</v>
      <v>4</v>
      <v>4</v>
      <v>5</v>
      <v>11</v>
      <v>1</v>
      <v>1</v>
      <v>1</v>
      <v>4</v>
      <v>7</v>
      <v>8</v>
      <v>9</v>
      <v>4</v>
    </spb>
    <spb s="9">
      <v>Powered by Refinitiv</v>
    </spb>
    <spb s="0">
      <v>4</v>
      <v>Name</v>
      <v>LearnMoreOnLink</v>
    </spb>
    <spb s="10">
      <v>1</v>
      <v>2</v>
      <v>1</v>
      <v>3</v>
      <v>1</v>
      <v>1</v>
      <v>1</v>
      <v>4</v>
      <v>4</v>
      <v>5</v>
      <v>6</v>
      <v>1</v>
      <v>1</v>
      <v>1</v>
      <v>4</v>
      <v>7</v>
      <v>8</v>
      <v>9</v>
      <v>4</v>
    </spb>
    <spb s="11">
      <v>Delayed 15 minutes</v>
      <v>from previous close</v>
      <v>from previous close</v>
      <v>GMT</v>
    </spb>
    <spb s="0">
      <v>5</v>
      <v>Name</v>
      <v>LearnMoreOnLink</v>
    </spb>
    <spb s="12">
      <v>1</v>
      <v>2</v>
      <v>1</v>
      <v>3</v>
      <v>1</v>
      <v>10</v>
      <v>1</v>
      <v>1</v>
      <v>4</v>
      <v>4</v>
      <v>5</v>
      <v>6</v>
      <v>1</v>
      <v>1</v>
      <v>1</v>
      <v>4</v>
      <v>7</v>
      <v>8</v>
      <v>9</v>
      <v>4</v>
    </spb>
    <spb s="0">
      <v>6</v>
      <v>Name</v>
      <v>LearnMoreOnLink</v>
    </spb>
    <spb s="13">
      <v>1</v>
      <v>2</v>
      <v>2</v>
      <v>1</v>
      <v>3</v>
      <v>1</v>
      <v>1</v>
      <v>1</v>
      <v>4</v>
      <v>4</v>
      <v>5</v>
      <v>6</v>
      <v>1</v>
      <v>1</v>
      <v>1</v>
      <v>4</v>
      <v>7</v>
      <v>8</v>
      <v>9</v>
      <v>4</v>
      <v>1</v>
      <v>1</v>
      <v>5</v>
    </spb>
    <spb s="14">
      <v>at close</v>
      <v>from previous close</v>
      <v>from previous close</v>
      <v>Source: Nasdaq</v>
      <v>GMT</v>
      <v>Delayed 15 minutes</v>
      <v>from close</v>
      <v>from close</v>
    </spb>
    <spb s="0">
      <v>7</v>
      <v>Name</v>
      <v>LearnMoreOnLink</v>
    </spb>
    <spb s="8">
      <v>1</v>
      <v>2</v>
      <v>2</v>
      <v>1</v>
      <v>3</v>
      <v>1</v>
      <v>10</v>
      <v>1</v>
      <v>1</v>
      <v>4</v>
      <v>4</v>
      <v>5</v>
      <v>6</v>
      <v>1</v>
      <v>1</v>
      <v>1</v>
      <v>4</v>
      <v>7</v>
      <v>8</v>
      <v>9</v>
      <v>4</v>
    </spb>
    <spb s="8">
      <v>12</v>
      <v>2</v>
      <v>2</v>
      <v>12</v>
      <v>3</v>
      <v>12</v>
      <v>10</v>
      <v>12</v>
      <v>12</v>
      <v>4</v>
      <v>4</v>
      <v>5</v>
      <v>11</v>
      <v>12</v>
      <v>12</v>
      <v>12</v>
      <v>4</v>
      <v>7</v>
      <v>8</v>
      <v>9</v>
      <v>4</v>
    </spb>
    <spb s="11">
      <v>Delayed 20 minutes</v>
      <v>from previous close</v>
      <v>from previous close</v>
      <v>GMT</v>
    </spb>
    <spb s="3">
      <v>12</v>
      <v>2</v>
      <v>2</v>
      <v>12</v>
      <v>3</v>
      <v>12</v>
      <v>12</v>
      <v>12</v>
      <v>4</v>
      <v>4</v>
      <v>5</v>
      <v>11</v>
      <v>12</v>
      <v>12</v>
      <v>12</v>
      <v>4</v>
      <v>7</v>
      <v>8</v>
      <v>9</v>
      <v>4</v>
    </spb>
    <spb s="3">
      <v>12</v>
      <v>2</v>
      <v>2</v>
      <v>12</v>
      <v>3</v>
      <v>12</v>
      <v>12</v>
      <v>12</v>
      <v>4</v>
      <v>4</v>
      <v>5</v>
      <v>6</v>
      <v>12</v>
      <v>12</v>
      <v>12</v>
      <v>4</v>
      <v>7</v>
      <v>8</v>
      <v>9</v>
      <v>4</v>
    </spb>
    <spb s="0">
      <v>8</v>
      <v>Name</v>
      <v>LearnMoreOnLink</v>
    </spb>
    <spb s="15">
      <v>1</v>
      <v>1</v>
      <v>1</v>
    </spb>
    <spb s="16">
      <v>1</v>
      <v>2</v>
      <v>1</v>
      <v>3</v>
      <v>1</v>
      <v>1</v>
      <v>1</v>
      <v>4</v>
      <v>5</v>
      <v>6</v>
      <v>1</v>
      <v>1</v>
      <v>5</v>
      <v>1</v>
      <v>4</v>
      <v>7</v>
      <v>9</v>
    </spb>
    <spb s="17">
      <v>Real-Time Nasdaq Last Sale</v>
      <v>from previous close</v>
      <v>Source: Nasdaq Last Sale</v>
      <v>from previous close</v>
      <v>GMT</v>
    </spb>
    <spb s="18">
      <v>9</v>
      <v>Name</v>
    </spb>
    <spb s="19">
      <v>1</v>
      <v>1</v>
    </spb>
    <spb s="20">
      <v>1</v>
      <v>1</v>
      <v>3</v>
      <v>1</v>
      <v>1</v>
      <v>1</v>
      <v>4</v>
      <v>5</v>
      <v>6</v>
      <v>1</v>
      <v>1</v>
      <v>5</v>
      <v>1</v>
      <v>4</v>
      <v>7</v>
      <v>9</v>
    </spb>
    <spb s="0">
      <v>10</v>
      <v>Name</v>
      <v>LearnMoreOnLink</v>
    </spb>
    <spb s="21">
      <v>1</v>
      <v>1</v>
      <v>1</v>
      <v>1</v>
    </spb>
    <spb s="22">
      <v>3</v>
      <v>12</v>
      <v>12</v>
      <v>4</v>
      <v>5</v>
      <v>11</v>
      <v>5</v>
      <v>5</v>
      <v>5</v>
      <v>5</v>
      <v>5</v>
      <v>5</v>
      <v>5</v>
      <v>5</v>
      <v>12</v>
      <v>13</v>
      <v>7</v>
      <v>9</v>
    </spb>
    <spb s="23">
      <v>from previous close</v>
      <v>from previous close</v>
      <v>GMT</v>
      <v>GMT</v>
    </spb>
    <spb s="0">
      <v>11</v>
      <v>Name</v>
      <v>LearnMoreOnLink</v>
    </spb>
    <spb s="24">
      <v>12</v>
      <v>2</v>
      <v>12</v>
      <v>3</v>
      <v>12</v>
      <v>12</v>
      <v>12</v>
      <v>4</v>
      <v>5</v>
      <v>11</v>
      <v>12</v>
      <v>12</v>
      <v>5</v>
      <v>12</v>
      <v>7</v>
      <v>9</v>
    </spb>
    <spb s="18">
      <v>12</v>
      <v>Name</v>
    </spb>
    <spb s="25">
      <v>1</v>
      <v>1</v>
      <v>1</v>
    </spb>
  </spbData>
</supportingPropertyBags>
</file>

<file path=xl/richData/rdsupportingpropertybagstructure.xml><?xml version="1.0" encoding="utf-8"?>
<spbStructures xmlns="http://schemas.microsoft.com/office/spreadsheetml/2017/richdata2" count="2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Order" t="spba"/>
    <k n="TitleProperty"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k n="Last update time"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x:dxf>
      <x:numFmt numFmtId="19" formatCode="m/d/yyyy"/>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Sty dxfid="0">
      <rpv i="0">_-[$$-en-CA]* #,##0_-;-[$$-en-CA]* #,##0_-;_-[$$-en-CA]* "-"_-;_-@_-</rpv>
    </rSty>
    <rSty dxfid="0">
      <rpv i="0">_-[$$-en-CA]* #,##0.00_-;-[$$-en-CA]* #,##0.00_-;_-[$$-en-CA]* "-"??_-;_-@_-</rpv>
    </rSty>
    <rSty dxfid="7"/>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8" dT="2025-09-17T14:52:50.50" personId="{6BAC4E66-70CA-4DDB-9E9E-64702C3D6B4A}" id="{60E60EDA-63A0-4BA6-B6DB-F8260983618D}">
    <text xml:space="preserve">This doesn’t show anywhere
</text>
  </threadedComment>
  <threadedComment ref="B46" dT="2025-06-05T18:40:00.43" personId="{6BAC4E66-70CA-4DDB-9E9E-64702C3D6B4A}" id="{1671CC4F-7580-473F-ABF7-6A41240CE6E7}">
    <text>They were originally in TD Direct Inv. USD SDRSP</text>
  </threadedComment>
  <threadedComment ref="B50" dT="2023-04-04T18:13:25.15" personId="{BAB782C2-6B1C-440A-AFAA-B6DBD248C527}" id="{8A3F0E30-7BBF-4121-9108-1379A70075F8}">
    <text>Transferred from "US TFSA Options" to US SDRSP Easy Trade.</text>
  </threadedComment>
  <threadedComment ref="C51" dT="2023-04-04T18:13:25.15" personId="{BAB782C2-6B1C-440A-AFAA-B6DBD248C527}" id="{2786F4D6-4A15-4FC9-A124-D0A4A8A2FC70}">
    <text>Transferred from "US TFSA Options" to US SDRSP Easy Trade.</text>
  </threadedComment>
  <threadedComment ref="B52" dT="2023-04-04T18:13:25.15" personId="{BAB782C2-6B1C-440A-AFAA-B6DBD248C527}" id="{5E19A059-6BB5-4E28-9BA8-DCD64A2E569B}">
    <text>Transferred from "US TFSA Options" to US SDRSP Easy Trade.</text>
  </threadedComment>
  <threadedComment ref="B56" dT="2025-06-05T18:40:00.43" personId="{6BAC4E66-70CA-4DDB-9E9E-64702C3D6B4A}" id="{836DCD3B-C246-47CA-9DF2-6F84CB1DD620}">
    <text>They were originally in TD Direct Inv. USD SDRSP</text>
  </threadedComment>
  <threadedComment ref="C123" dT="2024-04-17T18:47:12.40" personId="{BAB782C2-6B1C-440A-AFAA-B6DBD248C527}" id="{55A0FFE8-F5FD-44B3-A66E-5D999D9B2406}">
    <text>Renamed as "TORO"</text>
  </threadedComment>
  <threadedComment ref="C125" dT="2024-04-17T18:47:12.40" personId="{BAB782C2-6B1C-440A-AFAA-B6DBD248C527}" id="{FEC55A3E-78BF-4760-8F51-2A6A7ADA1FA8}">
    <text>Renamed as "TORO"</text>
  </threadedComment>
  <threadedComment ref="C127" dT="2024-04-17T18:47:12.40" personId="{BAB782C2-6B1C-440A-AFAA-B6DBD248C527}" id="{F024E73B-FC58-40C5-B5EC-ACD7CC069C82}">
    <text>Renamed as "TORO"</text>
  </threadedComment>
  <threadedComment ref="C129" dT="2024-04-17T18:47:12.40" personId="{BAB782C2-6B1C-440A-AFAA-B6DBD248C527}" id="{0E8884E8-E2B3-45CE-AD0D-E6951E15D6A4}">
    <text>Renamed as "TORO"</text>
  </threadedComment>
  <threadedComment ref="C131" dT="2024-04-17T18:47:12.40" personId="{BAB782C2-6B1C-440A-AFAA-B6DBD248C527}" id="{4E27FAA6-BEFB-4058-B2A5-8F3201277257}">
    <text>Renamed as "TORO"</text>
  </threadedComment>
  <threadedComment ref="B172" dT="2022-07-27T10:57:12.84" personId="{BAB782C2-6B1C-440A-AFAA-B6DBD248C527}" id="{9EE74A5F-0210-4966-83B2-669781E21FE3}">
    <text>It was initially on US TFSA Options and moved to US SDRSP because of overcontribution. July 26, 2022</text>
  </threadedComment>
  <threadedComment ref="B176" dT="2023-12-19T19:55:52.53" personId="{BAB782C2-6B1C-440A-AFAA-B6DBD248C527}" id="{35FA5BB8-6912-440E-99C0-A83E6CFCFAD8}">
    <text>For Dividends</text>
  </threadedComment>
  <threadedComment ref="B178" dT="2023-12-19T19:55:52.53" personId="{BAB782C2-6B1C-440A-AFAA-B6DBD248C527}" id="{F4587E4F-C49C-4459-9028-3BCDB8D69C55}">
    <text>For Dividends</text>
  </threadedComment>
  <threadedComment ref="B180" dT="2023-12-19T19:55:52.53" personId="{BAB782C2-6B1C-440A-AFAA-B6DBD248C527}" id="{53ED3386-4F1F-491B-A868-3DC945D2AD62}">
    <text>For Dividends</text>
  </threadedComment>
  <threadedComment ref="B182" dT="2023-12-19T19:55:52.53" personId="{BAB782C2-6B1C-440A-AFAA-B6DBD248C527}" id="{E1D27E64-51E8-4BC0-8DD7-87896FF91A6C}">
    <text>For Dividends</text>
  </threadedComment>
  <threadedComment ref="B194" dT="2023-12-19T19:55:52.53" personId="{BAB782C2-6B1C-440A-AFAA-B6DBD248C527}" id="{724E92CD-F6A0-47C4-9DCC-6780DCE7F60D}">
    <text>For Dividends</text>
  </threadedComment>
  <threadedComment ref="B346" dT="2025-06-05T18:40:00.43" personId="{6BAC4E66-70CA-4DDB-9E9E-64702C3D6B4A}" id="{C7BC4B73-3D5A-42FE-B775-A2734335943D}">
    <text>They were originally in TD Direct Inv. USD SDRSP</text>
  </threadedComment>
  <threadedComment ref="B350" dT="2025-06-05T18:40:00.43" personId="{6BAC4E66-70CA-4DDB-9E9E-64702C3D6B4A}" id="{EF53A672-E0A6-4A70-8463-5CB221A6BC36}">
    <text>They were originally in TD Direct Inv. USD SDRSP</text>
  </threadedComment>
  <threadedComment ref="B354" dT="2025-06-05T18:40:00.43" personId="{6BAC4E66-70CA-4DDB-9E9E-64702C3D6B4A}" id="{7151832A-7273-4237-AFFE-01B4630CE571}">
    <text>They were originally in TD Direct Inv. USD SDRSP</text>
  </threadedComment>
  <threadedComment ref="B356" dT="2025-06-05T18:40:00.43" personId="{6BAC4E66-70CA-4DDB-9E9E-64702C3D6B4A}" id="{39805939-6D63-4F31-95F7-8922DC3066EB}">
    <text>They were originally in TD Direct Inv. USD SDRSP</text>
  </threadedComment>
  <threadedComment ref="B370" dT="2025-06-05T18:40:00.43" personId="{6BAC4E66-70CA-4DDB-9E9E-64702C3D6B4A}" id="{E896B86D-C72A-4BA9-8668-BB444C344D43}">
    <text>They were originally in TD Direct Inv. USD SDRSP</text>
  </threadedComment>
  <threadedComment ref="B372" dT="2025-06-05T18:40:00.43" personId="{6BAC4E66-70CA-4DDB-9E9E-64702C3D6B4A}" id="{5EEADFA2-3A2E-470A-BE4E-052B6F851CF4}">
    <text>They were originally in TD Direct Inv. USD SDRSP</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3444-92D9-4200-8B78-7CB7FAE28719}">
  <sheetPr codeName="Sheet1"/>
  <dimension ref="A1:AE611"/>
  <sheetViews>
    <sheetView tabSelected="1" zoomScale="85" zoomScaleNormal="85" workbookViewId="0">
      <pane ySplit="1" topLeftCell="A350" activePane="bottomLeft" state="frozen"/>
      <selection pane="bottomLeft" activeCell="A352" sqref="A352"/>
    </sheetView>
  </sheetViews>
  <sheetFormatPr defaultColWidth="8.7265625" defaultRowHeight="14.4" x14ac:dyDescent="0.35"/>
  <cols>
    <col min="1" max="1" width="17.08984375" style="5" customWidth="1"/>
    <col min="2" max="2" width="23" style="6" customWidth="1"/>
    <col min="3" max="3" width="35.54296875" style="5" customWidth="1"/>
    <col min="4" max="4" width="18.453125" style="5" customWidth="1"/>
    <col min="5" max="5" width="13.54296875" style="5" customWidth="1"/>
    <col min="6" max="6" width="13.81640625" style="5" bestFit="1" customWidth="1"/>
    <col min="7" max="7" width="16.1796875" style="37" customWidth="1"/>
    <col min="8" max="8" width="11.54296875" style="5" bestFit="1" customWidth="1"/>
    <col min="9" max="9" width="8.7265625" style="5"/>
    <col min="10" max="10" width="17.36328125" style="38" customWidth="1"/>
    <col min="11" max="11" width="14.90625" style="5" customWidth="1"/>
    <col min="12" max="12" width="28.36328125" style="5" customWidth="1"/>
    <col min="13" max="13" width="24" style="5" customWidth="1"/>
    <col min="14" max="14" width="34.7265625" style="5" customWidth="1"/>
    <col min="15" max="15" width="27.1796875" style="5" customWidth="1"/>
    <col min="16" max="16" width="24.7265625" style="5" customWidth="1"/>
    <col min="17" max="17" width="16.1796875" style="5" customWidth="1"/>
    <col min="18" max="18" width="8.90625" style="5" bestFit="1" customWidth="1"/>
    <col min="19" max="16384" width="8.7265625" style="5"/>
  </cols>
  <sheetData>
    <row r="1" spans="1:15" ht="28.8" x14ac:dyDescent="0.35">
      <c r="A1" s="5" t="s">
        <v>398</v>
      </c>
      <c r="B1" s="1" t="s">
        <v>0</v>
      </c>
      <c r="C1" s="2" t="s">
        <v>1</v>
      </c>
      <c r="D1" s="2" t="s">
        <v>399</v>
      </c>
      <c r="E1" s="2" t="s">
        <v>400</v>
      </c>
      <c r="F1" s="1" t="s">
        <v>401</v>
      </c>
      <c r="G1" s="3" t="s">
        <v>402</v>
      </c>
      <c r="H1" s="2" t="s">
        <v>2</v>
      </c>
      <c r="I1" s="2" t="s">
        <v>3</v>
      </c>
      <c r="J1" s="4" t="s">
        <v>403</v>
      </c>
      <c r="K1" s="4" t="s">
        <v>404</v>
      </c>
      <c r="L1" s="122" t="s">
        <v>405</v>
      </c>
      <c r="M1" s="122" t="s">
        <v>406</v>
      </c>
    </row>
    <row r="2" spans="1:15" ht="28.8" x14ac:dyDescent="0.35">
      <c r="A2" s="5">
        <v>1</v>
      </c>
      <c r="B2" s="59" t="s">
        <v>4</v>
      </c>
      <c r="C2" s="16" t="e" vm="1">
        <v>#VALUE!</v>
      </c>
      <c r="D2" s="16" t="e" vm="1">
        <f t="shared" ref="D2:D13" si="0">C2</f>
        <v>#VALUE!</v>
      </c>
      <c r="E2" s="13" cm="1">
        <f t="array" aca="1" ref="E2" ca="1">_FV(D2,"Price")</f>
        <v>131.02000000000001</v>
      </c>
      <c r="F2" s="13">
        <v>153.84</v>
      </c>
      <c r="G2" s="14">
        <v>3</v>
      </c>
      <c r="H2" s="13">
        <f t="shared" ref="H2:H3" si="1">F2*G2</f>
        <v>461.52</v>
      </c>
      <c r="I2" s="14" t="s">
        <v>5</v>
      </c>
      <c r="J2" s="10"/>
      <c r="K2" s="7"/>
      <c r="L2" s="11"/>
      <c r="M2" s="11"/>
    </row>
    <row r="3" spans="1:15" x14ac:dyDescent="0.35">
      <c r="A3" s="5">
        <v>1</v>
      </c>
      <c r="B3" s="66"/>
      <c r="C3" s="67" t="s">
        <v>6</v>
      </c>
      <c r="D3" s="67" t="str">
        <f>C3</f>
        <v>BABA</v>
      </c>
      <c r="E3" s="5">
        <f ca="1">E2</f>
        <v>131.02000000000001</v>
      </c>
      <c r="F3" s="13">
        <f ca="1">E3</f>
        <v>131.02000000000001</v>
      </c>
      <c r="G3" s="14">
        <f>G2</f>
        <v>3</v>
      </c>
      <c r="H3" s="13">
        <f t="shared" ca="1" si="1"/>
        <v>393.06000000000006</v>
      </c>
      <c r="I3" s="14"/>
      <c r="J3" s="10">
        <f ca="1">H3-H2</f>
        <v>-68.459999999999923</v>
      </c>
      <c r="K3" s="7">
        <f t="shared" ref="K3" ca="1" si="2">(H3/H2)-100%</f>
        <v>-0.14833593343733731</v>
      </c>
      <c r="L3" s="11"/>
      <c r="M3" s="11"/>
    </row>
    <row r="4" spans="1:15" ht="28.8" x14ac:dyDescent="0.35">
      <c r="A4" s="5">
        <v>1</v>
      </c>
      <c r="B4" s="59" t="s">
        <v>4</v>
      </c>
      <c r="C4" s="16" t="e" vm="1">
        <v>#VALUE!</v>
      </c>
      <c r="D4" s="16" t="e" vm="1">
        <f t="shared" ref="D4" si="3">C4</f>
        <v>#VALUE!</v>
      </c>
      <c r="E4" s="13" cm="1">
        <f t="array" aca="1" ref="E4" ca="1">_FV(D4,"Price")</f>
        <v>131.02000000000001</v>
      </c>
      <c r="F4" s="13">
        <v>172.88</v>
      </c>
      <c r="G4" s="14">
        <v>2</v>
      </c>
      <c r="H4" s="13">
        <f t="shared" ref="H4:H5" si="4">F4*G4</f>
        <v>345.76</v>
      </c>
      <c r="I4" s="14" t="s">
        <v>5</v>
      </c>
      <c r="J4" s="10"/>
      <c r="K4" s="7"/>
      <c r="L4" s="11"/>
      <c r="M4" s="11"/>
    </row>
    <row r="5" spans="1:15" x14ac:dyDescent="0.35">
      <c r="A5" s="5">
        <v>1</v>
      </c>
      <c r="B5" s="66"/>
      <c r="C5" s="67" t="s">
        <v>6</v>
      </c>
      <c r="D5" s="67" t="str">
        <f>C5</f>
        <v>BABA</v>
      </c>
      <c r="E5" s="5">
        <f ca="1">E4</f>
        <v>131.02000000000001</v>
      </c>
      <c r="F5" s="13">
        <f ca="1">E5</f>
        <v>131.02000000000001</v>
      </c>
      <c r="G5" s="14">
        <f>G4</f>
        <v>2</v>
      </c>
      <c r="H5" s="13">
        <f t="shared" ca="1" si="4"/>
        <v>262.04000000000002</v>
      </c>
      <c r="I5" s="14"/>
      <c r="J5" s="10">
        <f ca="1">H5-H4</f>
        <v>-83.71999999999997</v>
      </c>
      <c r="K5" s="7">
        <f t="shared" ref="K5" ca="1" si="5">(H5/H4)-100%</f>
        <v>-0.24213327163350296</v>
      </c>
      <c r="L5" s="11"/>
      <c r="M5" s="11"/>
    </row>
    <row r="6" spans="1:15" x14ac:dyDescent="0.35">
      <c r="A6" s="5">
        <v>1</v>
      </c>
      <c r="C6" s="8" t="e" vm="2">
        <v>#VALUE!</v>
      </c>
      <c r="D6" s="8" t="e" vm="2">
        <f t="shared" si="0"/>
        <v>#VALUE!</v>
      </c>
      <c r="E6" s="8" cm="1">
        <f t="array" aca="1" ref="E6" ca="1">_FV(D6,"Price")</f>
        <v>1.1107</v>
      </c>
      <c r="F6" s="8">
        <v>8.24</v>
      </c>
      <c r="G6" s="9">
        <v>70</v>
      </c>
      <c r="H6" s="8">
        <f t="shared" ref="H6:H15" si="6">F6*G6</f>
        <v>576.80000000000007</v>
      </c>
      <c r="I6" s="8" t="s">
        <v>5</v>
      </c>
      <c r="J6" s="10"/>
      <c r="K6" s="7"/>
      <c r="L6" s="11"/>
      <c r="M6" s="11"/>
      <c r="N6" s="11"/>
    </row>
    <row r="7" spans="1:15" x14ac:dyDescent="0.35">
      <c r="A7" s="5">
        <v>1</v>
      </c>
      <c r="C7" s="8" t="s">
        <v>7</v>
      </c>
      <c r="D7" s="8" t="str">
        <f t="shared" si="0"/>
        <v>BNGO</v>
      </c>
      <c r="E7" s="8">
        <f ca="1">E6</f>
        <v>1.1107</v>
      </c>
      <c r="F7" s="8">
        <f ca="1">E7</f>
        <v>1.1107</v>
      </c>
      <c r="G7" s="9">
        <f>G6</f>
        <v>70</v>
      </c>
      <c r="H7" s="8">
        <f t="shared" ca="1" si="6"/>
        <v>77.748999999999995</v>
      </c>
      <c r="I7" s="8"/>
      <c r="J7" s="10">
        <f ca="1">H7-H6</f>
        <v>-499.05100000000004</v>
      </c>
      <c r="K7" s="7">
        <f ca="1">(H7/H6)-100%</f>
        <v>-0.86520631067961173</v>
      </c>
      <c r="L7" s="11"/>
      <c r="M7" s="11"/>
      <c r="N7" s="12" t="s">
        <v>8</v>
      </c>
    </row>
    <row r="8" spans="1:15" x14ac:dyDescent="0.35">
      <c r="A8" s="5">
        <v>1</v>
      </c>
      <c r="B8" s="198" t="s">
        <v>306</v>
      </c>
      <c r="C8" s="13" t="e" vm="3">
        <v>#VALUE!</v>
      </c>
      <c r="D8" s="5" t="e" vm="3">
        <f t="shared" si="0"/>
        <v>#VALUE!</v>
      </c>
      <c r="E8" s="13" cm="1">
        <f t="array" aca="1" ref="E8" ca="1">_FV(D8,"Price")</f>
        <v>1.1460999999999999</v>
      </c>
      <c r="F8" s="13">
        <v>2.81</v>
      </c>
      <c r="G8" s="14">
        <v>100</v>
      </c>
      <c r="H8" s="13">
        <f t="shared" si="6"/>
        <v>281</v>
      </c>
      <c r="I8" s="14" t="s">
        <v>5</v>
      </c>
      <c r="J8" s="10"/>
      <c r="K8" s="7"/>
      <c r="L8" s="11"/>
      <c r="M8" s="11"/>
      <c r="N8" s="11"/>
      <c r="O8" s="5">
        <f t="shared" ref="O8:O11" si="7">J8</f>
        <v>0</v>
      </c>
    </row>
    <row r="9" spans="1:15" x14ac:dyDescent="0.35">
      <c r="A9" s="5">
        <v>1</v>
      </c>
      <c r="B9" s="198"/>
      <c r="C9" s="15" t="s">
        <v>10</v>
      </c>
      <c r="D9" s="5" t="str">
        <f t="shared" si="0"/>
        <v>MEIP</v>
      </c>
      <c r="E9" s="5">
        <f ca="1">E8</f>
        <v>1.1460999999999999</v>
      </c>
      <c r="F9" s="13">
        <f ca="1">E9</f>
        <v>1.1460999999999999</v>
      </c>
      <c r="G9" s="14">
        <f>G8</f>
        <v>100</v>
      </c>
      <c r="H9" s="13">
        <f t="shared" ca="1" si="6"/>
        <v>114.60999999999999</v>
      </c>
      <c r="I9" s="14"/>
      <c r="J9" s="10">
        <f ca="1">H9-H8</f>
        <v>-166.39000000000001</v>
      </c>
      <c r="K9" s="7">
        <f t="shared" ref="K9" ca="1" si="8">(H9/H8)-100%</f>
        <v>-0.59213523131672607</v>
      </c>
      <c r="L9" s="11"/>
      <c r="M9" s="11"/>
      <c r="N9" s="11"/>
      <c r="O9" s="5">
        <f t="shared" ca="1" si="7"/>
        <v>-166.39000000000001</v>
      </c>
    </row>
    <row r="10" spans="1:15" x14ac:dyDescent="0.35">
      <c r="A10" s="5">
        <v>1</v>
      </c>
      <c r="C10" s="13" t="e" vm="4">
        <v>#VALUE!</v>
      </c>
      <c r="D10" s="5" t="e" vm="4">
        <f t="shared" si="0"/>
        <v>#VALUE!</v>
      </c>
      <c r="E10" s="13" cm="1">
        <f t="array" aca="1" ref="E10" ca="1">_FV(D10,"Price")</f>
        <v>2.54</v>
      </c>
      <c r="F10" s="13">
        <v>1.57</v>
      </c>
      <c r="G10" s="14">
        <v>100</v>
      </c>
      <c r="H10" s="13">
        <f t="shared" si="6"/>
        <v>157</v>
      </c>
      <c r="I10" s="14" t="s">
        <v>5</v>
      </c>
      <c r="J10" s="10"/>
      <c r="K10" s="7"/>
      <c r="L10" s="11"/>
      <c r="M10" s="11"/>
      <c r="N10" s="11"/>
      <c r="O10" s="5">
        <f t="shared" si="7"/>
        <v>0</v>
      </c>
    </row>
    <row r="11" spans="1:15" x14ac:dyDescent="0.35">
      <c r="A11" s="5">
        <v>1</v>
      </c>
      <c r="C11" s="15" t="s">
        <v>11</v>
      </c>
      <c r="D11" s="5" t="str">
        <f t="shared" si="0"/>
        <v>PFIE</v>
      </c>
      <c r="E11" s="5">
        <f ca="1">E10</f>
        <v>2.54</v>
      </c>
      <c r="F11" s="13">
        <f ca="1">E11</f>
        <v>2.54</v>
      </c>
      <c r="G11" s="14">
        <f>G10</f>
        <v>100</v>
      </c>
      <c r="H11" s="13">
        <f t="shared" ca="1" si="6"/>
        <v>254</v>
      </c>
      <c r="I11" s="14"/>
      <c r="J11" s="10">
        <f ca="1">H11-H10</f>
        <v>97</v>
      </c>
      <c r="K11" s="7">
        <f t="shared" ref="K11" ca="1" si="9">(H11/H10)-100%</f>
        <v>0.61783439490445868</v>
      </c>
      <c r="L11" s="11"/>
      <c r="M11" s="11"/>
      <c r="N11" s="11"/>
      <c r="O11" s="5">
        <f t="shared" ca="1" si="7"/>
        <v>97</v>
      </c>
    </row>
    <row r="12" spans="1:15" ht="29.3" customHeight="1" x14ac:dyDescent="0.35">
      <c r="B12" s="156" t="s">
        <v>12</v>
      </c>
      <c r="C12" s="52" t="e" vm="5">
        <v>#VALUE!</v>
      </c>
      <c r="D12" s="53" t="e" vm="5">
        <f t="shared" si="0"/>
        <v>#VALUE!</v>
      </c>
      <c r="E12" s="52" cm="1">
        <f t="array" aca="1" ref="E12" ca="1">_FV(D12,"Price")</f>
        <v>17.305</v>
      </c>
      <c r="F12" s="52">
        <v>65.8</v>
      </c>
      <c r="G12" s="54">
        <v>90</v>
      </c>
      <c r="H12" s="52">
        <f t="shared" si="6"/>
        <v>5922</v>
      </c>
      <c r="I12" s="54" t="s">
        <v>5</v>
      </c>
      <c r="J12" s="10"/>
      <c r="K12" s="7"/>
      <c r="L12" s="11"/>
      <c r="M12" s="11"/>
    </row>
    <row r="13" spans="1:15" x14ac:dyDescent="0.35">
      <c r="B13" s="156"/>
      <c r="C13" s="52" t="s">
        <v>13</v>
      </c>
      <c r="D13" s="53" t="str">
        <f t="shared" si="0"/>
        <v>XPEV</v>
      </c>
      <c r="E13" s="53">
        <f ca="1">E12</f>
        <v>17.305</v>
      </c>
      <c r="F13" s="52">
        <v>17.350000000000001</v>
      </c>
      <c r="G13" s="54">
        <f>G12</f>
        <v>90</v>
      </c>
      <c r="H13" s="52">
        <f t="shared" si="6"/>
        <v>1561.5000000000002</v>
      </c>
      <c r="I13" s="54"/>
      <c r="J13" s="10">
        <f>H13-H12</f>
        <v>-4360.5</v>
      </c>
      <c r="K13" s="7">
        <f t="shared" ref="K13" si="10">(H13/H12)-100%</f>
        <v>-0.73632218844984798</v>
      </c>
      <c r="L13" s="11"/>
      <c r="M13" s="11"/>
      <c r="N13" s="5" t="s">
        <v>14</v>
      </c>
    </row>
    <row r="14" spans="1:15" ht="28.8" x14ac:dyDescent="0.35">
      <c r="A14" s="5">
        <v>1</v>
      </c>
      <c r="B14" s="59" t="s">
        <v>4</v>
      </c>
      <c r="C14" s="16" t="e" vm="6">
        <v>#VALUE!</v>
      </c>
      <c r="D14" s="16" t="e" vm="6">
        <v>#VALUE!</v>
      </c>
      <c r="E14" s="16" cm="1">
        <f t="array" aca="1" ref="E14" ca="1">_FV(D14,"Price")</f>
        <v>3.4369999999999998</v>
      </c>
      <c r="F14" s="16">
        <f>5+5.74</f>
        <v>10.74</v>
      </c>
      <c r="G14" s="17">
        <v>100</v>
      </c>
      <c r="H14" s="16">
        <f t="shared" si="6"/>
        <v>1074</v>
      </c>
      <c r="I14" s="16" t="s">
        <v>5</v>
      </c>
      <c r="J14" s="10"/>
      <c r="K14" s="7"/>
      <c r="L14" s="11"/>
      <c r="M14" s="11"/>
    </row>
    <row r="15" spans="1:15" x14ac:dyDescent="0.35">
      <c r="A15" s="5">
        <v>1</v>
      </c>
      <c r="C15" s="16" t="s">
        <v>15</v>
      </c>
      <c r="D15" s="16" t="str">
        <f>C15</f>
        <v>BB</v>
      </c>
      <c r="E15" s="16">
        <f ca="1">E14</f>
        <v>3.4369999999999998</v>
      </c>
      <c r="F15" s="16">
        <f ca="1">E15</f>
        <v>3.4369999999999998</v>
      </c>
      <c r="G15" s="17">
        <f>G14</f>
        <v>100</v>
      </c>
      <c r="H15" s="16">
        <f t="shared" ca="1" si="6"/>
        <v>343.7</v>
      </c>
      <c r="I15" s="16"/>
      <c r="J15" s="10">
        <f ca="1">H15-H14</f>
        <v>-730.3</v>
      </c>
      <c r="K15" s="7">
        <f ca="1">(H15/H14)-100%</f>
        <v>-0.67998137802607084</v>
      </c>
      <c r="L15" s="11"/>
      <c r="M15" s="11"/>
      <c r="N15" s="5" t="s">
        <v>16</v>
      </c>
    </row>
    <row r="16" spans="1:15" ht="28.8" x14ac:dyDescent="0.35">
      <c r="A16" s="5">
        <v>1</v>
      </c>
      <c r="B16" s="59" t="s">
        <v>4</v>
      </c>
      <c r="C16" s="16" t="e" vm="6">
        <v>#VALUE!</v>
      </c>
      <c r="D16" s="16" t="e" vm="6">
        <v>#VALUE!</v>
      </c>
      <c r="E16" s="16" cm="1">
        <f t="array" aca="1" ref="E16" ca="1">_FV(D16,"Price")</f>
        <v>3.4369999999999998</v>
      </c>
      <c r="F16" s="16">
        <v>15.4</v>
      </c>
      <c r="G16" s="17">
        <v>10</v>
      </c>
      <c r="H16" s="16">
        <f>F16*G16</f>
        <v>154</v>
      </c>
      <c r="I16" s="16" t="s">
        <v>5</v>
      </c>
      <c r="J16" s="10"/>
      <c r="K16" s="7"/>
      <c r="L16" s="11"/>
      <c r="M16" s="11"/>
      <c r="O16" s="5" t="e">
        <f>#REF!</f>
        <v>#REF!</v>
      </c>
    </row>
    <row r="17" spans="1:16" x14ac:dyDescent="0.35">
      <c r="A17" s="5">
        <v>1</v>
      </c>
      <c r="C17" s="16" t="s">
        <v>15</v>
      </c>
      <c r="D17" s="16" t="str">
        <f>C17</f>
        <v>BB</v>
      </c>
      <c r="E17" s="16">
        <f ca="1">E16</f>
        <v>3.4369999999999998</v>
      </c>
      <c r="F17" s="16">
        <f ca="1">E17</f>
        <v>3.4369999999999998</v>
      </c>
      <c r="G17" s="17">
        <f>G16</f>
        <v>10</v>
      </c>
      <c r="H17" s="16">
        <f ca="1">F17*G17</f>
        <v>34.369999999999997</v>
      </c>
      <c r="I17" s="16"/>
      <c r="J17" s="10">
        <f ca="1">H17-H16</f>
        <v>-119.63</v>
      </c>
      <c r="K17" s="7">
        <f ca="1">(H17/H16)-100%</f>
        <v>-0.77681818181818185</v>
      </c>
      <c r="L17" s="11"/>
      <c r="M17" s="11"/>
      <c r="O17" s="5" t="e">
        <f>#REF!</f>
        <v>#REF!</v>
      </c>
    </row>
    <row r="18" spans="1:16" x14ac:dyDescent="0.35">
      <c r="B18" s="51" t="s">
        <v>17</v>
      </c>
      <c r="C18" s="52" t="e" vm="7">
        <v>#VALUE!</v>
      </c>
      <c r="D18" s="53" t="e" vm="7">
        <f t="shared" ref="D18:D27" si="11">C18</f>
        <v>#VALUE!</v>
      </c>
      <c r="E18" s="52" cm="1">
        <f t="array" aca="1" ref="E18" ca="1">_FV(D18,"Price")</f>
        <v>9.9999999999999995E-7</v>
      </c>
      <c r="F18" s="52">
        <v>16.87</v>
      </c>
      <c r="G18" s="54">
        <v>150</v>
      </c>
      <c r="H18" s="52">
        <f t="shared" ref="H18:H33" si="12">F18*G18</f>
        <v>2530.5</v>
      </c>
      <c r="I18" s="54" t="s">
        <v>18</v>
      </c>
      <c r="J18" s="45"/>
      <c r="K18" s="46"/>
      <c r="L18" s="123"/>
      <c r="M18" s="123"/>
      <c r="N18" s="5" t="s">
        <v>19</v>
      </c>
    </row>
    <row r="19" spans="1:16" x14ac:dyDescent="0.35">
      <c r="B19" s="51"/>
      <c r="C19" s="52" t="s">
        <v>20</v>
      </c>
      <c r="D19" s="53" t="str">
        <f t="shared" si="11"/>
        <v>SUNW</v>
      </c>
      <c r="E19" s="53">
        <f ca="1">E18</f>
        <v>9.9999999999999995E-7</v>
      </c>
      <c r="F19" s="52">
        <v>0.09</v>
      </c>
      <c r="G19" s="54">
        <f>G18</f>
        <v>150</v>
      </c>
      <c r="H19" s="52">
        <f t="shared" si="12"/>
        <v>13.5</v>
      </c>
      <c r="I19" s="54"/>
      <c r="J19" s="45">
        <f>H19-H18</f>
        <v>-2517</v>
      </c>
      <c r="K19" s="46">
        <f t="shared" ref="K19" si="13">(H19/H18)-100%</f>
        <v>-0.99466508595139302</v>
      </c>
      <c r="L19" s="123"/>
      <c r="M19" s="123"/>
    </row>
    <row r="20" spans="1:16" x14ac:dyDescent="0.35">
      <c r="B20" s="51" t="s">
        <v>17</v>
      </c>
      <c r="C20" s="52" t="e" vm="7">
        <v>#VALUE!</v>
      </c>
      <c r="D20" s="53" t="e" vm="7">
        <f t="shared" si="11"/>
        <v>#VALUE!</v>
      </c>
      <c r="E20" s="52" cm="1">
        <f t="array" aca="1" ref="E20" ca="1">_FV(D20,"Price")</f>
        <v>9.9999999999999995E-7</v>
      </c>
      <c r="F20" s="52">
        <v>15.18</v>
      </c>
      <c r="G20" s="54">
        <v>100</v>
      </c>
      <c r="H20" s="52">
        <f t="shared" si="12"/>
        <v>1518</v>
      </c>
      <c r="I20" s="54" t="s">
        <v>18</v>
      </c>
      <c r="J20" s="45"/>
      <c r="K20" s="46"/>
      <c r="L20" s="123"/>
      <c r="M20" s="123"/>
      <c r="N20" s="5" t="s">
        <v>19</v>
      </c>
    </row>
    <row r="21" spans="1:16" x14ac:dyDescent="0.35">
      <c r="B21" s="51"/>
      <c r="C21" s="52" t="s">
        <v>20</v>
      </c>
      <c r="D21" s="53" t="str">
        <f t="shared" si="11"/>
        <v>SUNW</v>
      </c>
      <c r="E21" s="53">
        <f ca="1">E20</f>
        <v>9.9999999999999995E-7</v>
      </c>
      <c r="F21" s="52">
        <v>0.09</v>
      </c>
      <c r="G21" s="54">
        <f>G20</f>
        <v>100</v>
      </c>
      <c r="H21" s="52">
        <f t="shared" si="12"/>
        <v>9</v>
      </c>
      <c r="I21" s="54"/>
      <c r="J21" s="45">
        <f>H21-H20</f>
        <v>-1509</v>
      </c>
      <c r="K21" s="46">
        <f t="shared" ref="K21" si="14">(H21/H20)-100%</f>
        <v>-0.99407114624505932</v>
      </c>
      <c r="L21" s="123"/>
      <c r="M21" s="123"/>
    </row>
    <row r="22" spans="1:16" x14ac:dyDescent="0.35">
      <c r="B22" s="51" t="s">
        <v>17</v>
      </c>
      <c r="C22" s="52" t="e" vm="7">
        <v>#VALUE!</v>
      </c>
      <c r="D22" s="53" t="e" vm="7">
        <f t="shared" si="11"/>
        <v>#VALUE!</v>
      </c>
      <c r="E22" s="52" cm="1">
        <f t="array" aca="1" ref="E22" ca="1">_FV(D22,"Price")</f>
        <v>9.9999999999999995E-7</v>
      </c>
      <c r="F22" s="52">
        <v>13.65</v>
      </c>
      <c r="G22" s="54">
        <v>150</v>
      </c>
      <c r="H22" s="52">
        <f t="shared" si="12"/>
        <v>2047.5</v>
      </c>
      <c r="I22" s="54" t="s">
        <v>18</v>
      </c>
      <c r="J22" s="45"/>
      <c r="K22" s="46"/>
      <c r="L22" s="123"/>
      <c r="M22" s="123"/>
      <c r="N22" s="5" t="s">
        <v>19</v>
      </c>
    </row>
    <row r="23" spans="1:16" x14ac:dyDescent="0.35">
      <c r="B23" s="51"/>
      <c r="C23" s="52" t="s">
        <v>20</v>
      </c>
      <c r="D23" s="53" t="str">
        <f t="shared" si="11"/>
        <v>SUNW</v>
      </c>
      <c r="E23" s="53">
        <f ca="1">E22</f>
        <v>9.9999999999999995E-7</v>
      </c>
      <c r="F23" s="52">
        <v>0.09</v>
      </c>
      <c r="G23" s="54">
        <f>G22</f>
        <v>150</v>
      </c>
      <c r="H23" s="52">
        <f t="shared" si="12"/>
        <v>13.5</v>
      </c>
      <c r="I23" s="54"/>
      <c r="J23" s="45">
        <f>H23-H22</f>
        <v>-2034</v>
      </c>
      <c r="K23" s="46">
        <f t="shared" ref="K23" si="15">(H23/H22)-100%</f>
        <v>-0.99340659340659343</v>
      </c>
      <c r="L23" s="123"/>
      <c r="M23" s="123"/>
    </row>
    <row r="24" spans="1:16" x14ac:dyDescent="0.35">
      <c r="A24" s="5">
        <v>1</v>
      </c>
      <c r="C24" s="8" t="e" vm="7">
        <v>#VALUE!</v>
      </c>
      <c r="D24" s="18" t="e" vm="7">
        <f t="shared" si="11"/>
        <v>#VALUE!</v>
      </c>
      <c r="E24" s="8" cm="1">
        <f t="array" aca="1" ref="E24" ca="1">_FV(D24,"Price")</f>
        <v>9.9999999999999995E-7</v>
      </c>
      <c r="F24" s="8">
        <v>13.6</v>
      </c>
      <c r="G24" s="9">
        <v>150</v>
      </c>
      <c r="H24" s="8">
        <f t="shared" si="12"/>
        <v>2040</v>
      </c>
      <c r="I24" s="9" t="s">
        <v>5</v>
      </c>
      <c r="J24" s="10"/>
      <c r="K24" s="7"/>
      <c r="L24" s="11"/>
      <c r="M24" s="11"/>
    </row>
    <row r="25" spans="1:16" x14ac:dyDescent="0.35">
      <c r="A25" s="5">
        <v>1</v>
      </c>
      <c r="C25" s="8" t="s">
        <v>20</v>
      </c>
      <c r="D25" s="18" t="str">
        <f t="shared" si="11"/>
        <v>SUNW</v>
      </c>
      <c r="E25" s="18">
        <f ca="1">E24</f>
        <v>9.9999999999999995E-7</v>
      </c>
      <c r="F25" s="8">
        <f ca="1">E25</f>
        <v>9.9999999999999995E-7</v>
      </c>
      <c r="G25" s="9">
        <f>G24</f>
        <v>150</v>
      </c>
      <c r="H25" s="8">
        <f t="shared" ca="1" si="12"/>
        <v>1.4999999999999999E-4</v>
      </c>
      <c r="I25" s="9"/>
      <c r="J25" s="10">
        <f ca="1">H25-H24</f>
        <v>-2039.9998499999999</v>
      </c>
      <c r="K25" s="7">
        <f t="shared" ref="K25" ca="1" si="16">(H25/H24)-100%</f>
        <v>-0.99999992647058822</v>
      </c>
      <c r="L25" s="11"/>
      <c r="M25" s="11"/>
    </row>
    <row r="26" spans="1:16" ht="29.3" customHeight="1" x14ac:dyDescent="0.35">
      <c r="B26" s="51" t="s">
        <v>21</v>
      </c>
      <c r="C26" s="52" t="e" vm="7">
        <v>#VALUE!</v>
      </c>
      <c r="D26" s="53" t="e" vm="7">
        <f t="shared" si="11"/>
        <v>#VALUE!</v>
      </c>
      <c r="E26" s="52" cm="1">
        <f t="array" aca="1" ref="E26" ca="1">_FV(D26,"Price")</f>
        <v>9.9999999999999995E-7</v>
      </c>
      <c r="F26" s="52">
        <v>13.2</v>
      </c>
      <c r="G26" s="54">
        <v>100</v>
      </c>
      <c r="H26" s="52">
        <f t="shared" si="12"/>
        <v>1320</v>
      </c>
      <c r="I26" s="54" t="s">
        <v>5</v>
      </c>
      <c r="J26" s="45"/>
      <c r="K26" s="46"/>
      <c r="L26" s="123"/>
      <c r="M26" s="123"/>
      <c r="N26" s="5" t="s">
        <v>22</v>
      </c>
    </row>
    <row r="27" spans="1:16" x14ac:dyDescent="0.35">
      <c r="A27" s="5">
        <v>1</v>
      </c>
      <c r="B27" s="65"/>
      <c r="C27" s="52" t="s">
        <v>20</v>
      </c>
      <c r="D27" s="53" t="str">
        <f t="shared" si="11"/>
        <v>SUNW</v>
      </c>
      <c r="E27" s="53">
        <f ca="1">E26</f>
        <v>9.9999999999999995E-7</v>
      </c>
      <c r="F27" s="70">
        <v>2.0000000000000001E-4</v>
      </c>
      <c r="G27" s="54">
        <f>G26</f>
        <v>100</v>
      </c>
      <c r="H27" s="52">
        <f t="shared" si="12"/>
        <v>0.02</v>
      </c>
      <c r="I27" s="54"/>
      <c r="J27" s="10">
        <f>H27-H26</f>
        <v>-1319.98</v>
      </c>
      <c r="K27" s="7">
        <f t="shared" ref="K27" si="17">(H27/H26)-100%</f>
        <v>-0.99998484848484848</v>
      </c>
      <c r="L27" s="11"/>
      <c r="M27" s="11"/>
      <c r="N27" s="5" t="s">
        <v>23</v>
      </c>
      <c r="O27" s="5" t="s">
        <v>24</v>
      </c>
      <c r="P27" s="5" t="s">
        <v>25</v>
      </c>
    </row>
    <row r="28" spans="1:16" x14ac:dyDescent="0.35">
      <c r="A28" s="5">
        <v>1</v>
      </c>
      <c r="B28" s="6" t="s">
        <v>26</v>
      </c>
      <c r="C28" s="16" t="e" vm="8">
        <v>#VALUE!</v>
      </c>
      <c r="D28" s="16" t="e" vm="8">
        <v>#VALUE!</v>
      </c>
      <c r="E28" s="16" cm="1">
        <f t="array" aca="1" ref="E28" ca="1">_FV(D28,"Price")</f>
        <v>4.7789000000000001</v>
      </c>
      <c r="F28" s="16">
        <v>8.9</v>
      </c>
      <c r="G28" s="17">
        <v>100</v>
      </c>
      <c r="H28" s="16">
        <f t="shared" si="12"/>
        <v>890</v>
      </c>
      <c r="I28" s="16" t="s">
        <v>5</v>
      </c>
      <c r="J28" s="10"/>
      <c r="K28" s="7"/>
      <c r="L28" s="11"/>
      <c r="M28" s="11"/>
    </row>
    <row r="29" spans="1:16" ht="28.8" x14ac:dyDescent="0.35">
      <c r="A29" s="5">
        <v>1</v>
      </c>
      <c r="B29" s="19" t="s">
        <v>28</v>
      </c>
      <c r="C29" s="16" t="s">
        <v>27</v>
      </c>
      <c r="D29" s="16" t="s">
        <v>27</v>
      </c>
      <c r="E29" s="16">
        <f ca="1">E28</f>
        <v>4.7789000000000001</v>
      </c>
      <c r="F29" s="16">
        <f ca="1">E29</f>
        <v>4.7789000000000001</v>
      </c>
      <c r="G29" s="17">
        <f>G28</f>
        <v>100</v>
      </c>
      <c r="H29" s="16">
        <f t="shared" ca="1" si="12"/>
        <v>477.89</v>
      </c>
      <c r="I29" s="16"/>
      <c r="J29" s="10">
        <f ca="1">H29-H28</f>
        <v>-412.11</v>
      </c>
      <c r="K29" s="7">
        <f ca="1">(H29/H28)-100%</f>
        <v>-0.46304494382022476</v>
      </c>
      <c r="L29" s="11"/>
      <c r="M29" s="11"/>
      <c r="N29" s="5" t="s">
        <v>28</v>
      </c>
    </row>
    <row r="30" spans="1:16" x14ac:dyDescent="0.35">
      <c r="B30" s="156" t="s">
        <v>26</v>
      </c>
      <c r="C30" s="47" t="e" vm="8">
        <v>#VALUE!</v>
      </c>
      <c r="D30" s="47" t="e" vm="8">
        <v>#VALUE!</v>
      </c>
      <c r="E30" s="47" cm="1">
        <f t="array" aca="1" ref="E30" ca="1">_FV(D30,"Price")</f>
        <v>4.7789000000000001</v>
      </c>
      <c r="F30" s="47">
        <v>50.96</v>
      </c>
      <c r="G30" s="48">
        <v>100</v>
      </c>
      <c r="H30" s="47">
        <f t="shared" si="12"/>
        <v>5096</v>
      </c>
      <c r="I30" s="47" t="s">
        <v>5</v>
      </c>
      <c r="J30" s="10"/>
      <c r="K30" s="7"/>
      <c r="L30" s="11"/>
      <c r="M30" s="11"/>
    </row>
    <row r="31" spans="1:16" x14ac:dyDescent="0.35">
      <c r="B31" s="156"/>
      <c r="C31" s="47" t="s">
        <v>27</v>
      </c>
      <c r="D31" s="47" t="s">
        <v>27</v>
      </c>
      <c r="E31" s="47">
        <f ca="1">E30</f>
        <v>4.7789000000000001</v>
      </c>
      <c r="F31" s="47">
        <v>4.46</v>
      </c>
      <c r="G31" s="48">
        <f>G30</f>
        <v>100</v>
      </c>
      <c r="H31" s="47">
        <f t="shared" si="12"/>
        <v>446</v>
      </c>
      <c r="I31" s="47"/>
      <c r="J31" s="10">
        <f>H31-H30</f>
        <v>-4650</v>
      </c>
      <c r="K31" s="7">
        <f>(H31/H30)-100%</f>
        <v>-0.91248037676609106</v>
      </c>
      <c r="L31" s="11"/>
      <c r="M31" s="11"/>
      <c r="N31" s="5" t="s">
        <v>14</v>
      </c>
    </row>
    <row r="32" spans="1:16" x14ac:dyDescent="0.35">
      <c r="B32" s="156" t="s">
        <v>26</v>
      </c>
      <c r="C32" s="47" t="e" vm="8">
        <v>#VALUE!</v>
      </c>
      <c r="D32" s="47" t="e" vm="8">
        <v>#VALUE!</v>
      </c>
      <c r="E32" s="47" cm="1">
        <f t="array" aca="1" ref="E32" ca="1">_FV(D32,"Price")</f>
        <v>4.7789000000000001</v>
      </c>
      <c r="F32" s="47">
        <v>47.64</v>
      </c>
      <c r="G32" s="48">
        <v>50</v>
      </c>
      <c r="H32" s="47">
        <f t="shared" si="12"/>
        <v>2382</v>
      </c>
      <c r="I32" s="47" t="s">
        <v>5</v>
      </c>
      <c r="J32" s="10"/>
      <c r="K32" s="7"/>
      <c r="L32" s="11"/>
      <c r="M32" s="11"/>
    </row>
    <row r="33" spans="1:15" x14ac:dyDescent="0.35">
      <c r="B33" s="156"/>
      <c r="C33" s="47" t="s">
        <v>27</v>
      </c>
      <c r="D33" s="47" t="s">
        <v>27</v>
      </c>
      <c r="E33" s="47">
        <f ca="1">E32</f>
        <v>4.7789000000000001</v>
      </c>
      <c r="F33" s="47">
        <v>4.46</v>
      </c>
      <c r="G33" s="48">
        <f>G32</f>
        <v>50</v>
      </c>
      <c r="H33" s="47">
        <f t="shared" si="12"/>
        <v>223</v>
      </c>
      <c r="I33" s="47"/>
      <c r="J33" s="10">
        <f>H33-H32</f>
        <v>-2159</v>
      </c>
      <c r="K33" s="7">
        <f>(H33/H32)-100%</f>
        <v>-0.90638119227539882</v>
      </c>
      <c r="L33" s="11"/>
      <c r="M33" s="11"/>
      <c r="N33" s="5" t="s">
        <v>14</v>
      </c>
    </row>
    <row r="34" spans="1:15" x14ac:dyDescent="0.35">
      <c r="B34" s="156" t="s">
        <v>26</v>
      </c>
      <c r="C34" s="47" t="e" vm="8">
        <v>#VALUE!</v>
      </c>
      <c r="D34" s="47" t="e" vm="8">
        <v>#VALUE!</v>
      </c>
      <c r="E34" s="47" cm="1">
        <f t="array" aca="1" ref="E34" ca="1">_FV(D34,"Price")</f>
        <v>4.7789000000000001</v>
      </c>
      <c r="F34" s="47">
        <v>35.69</v>
      </c>
      <c r="G34" s="48">
        <v>50</v>
      </c>
      <c r="H34" s="47">
        <f t="shared" ref="H34:H35" si="18">F34*G34</f>
        <v>1784.5</v>
      </c>
      <c r="I34" s="47" t="s">
        <v>5</v>
      </c>
      <c r="J34" s="10"/>
      <c r="K34" s="7"/>
      <c r="L34" s="11"/>
      <c r="M34" s="11"/>
    </row>
    <row r="35" spans="1:15" x14ac:dyDescent="0.35">
      <c r="B35" s="156"/>
      <c r="C35" s="47" t="s">
        <v>27</v>
      </c>
      <c r="D35" s="47" t="s">
        <v>27</v>
      </c>
      <c r="E35" s="47">
        <f ca="1">E34</f>
        <v>4.7789000000000001</v>
      </c>
      <c r="F35" s="47">
        <v>4.46</v>
      </c>
      <c r="G35" s="48">
        <f>G34</f>
        <v>50</v>
      </c>
      <c r="H35" s="47">
        <f t="shared" si="18"/>
        <v>223</v>
      </c>
      <c r="I35" s="47"/>
      <c r="J35" s="10">
        <f>H35-H34</f>
        <v>-1561.5</v>
      </c>
      <c r="K35" s="7">
        <f>(H35/H34)-100%</f>
        <v>-0.87503502381619502</v>
      </c>
      <c r="L35" s="11"/>
      <c r="M35" s="11"/>
      <c r="N35" s="5" t="s">
        <v>14</v>
      </c>
    </row>
    <row r="36" spans="1:15" ht="28.8" x14ac:dyDescent="0.35">
      <c r="B36" s="51" t="s">
        <v>29</v>
      </c>
      <c r="C36" s="52" t="e" vm="9">
        <v>#VALUE!</v>
      </c>
      <c r="D36" s="53" t="e" vm="9">
        <f>C36</f>
        <v>#VALUE!</v>
      </c>
      <c r="E36" s="52" cm="1">
        <f t="array" aca="1" ref="E36" ca="1">_FV(D36,"Price")</f>
        <v>7.8899999999999998E-2</v>
      </c>
      <c r="F36" s="52">
        <v>2.52</v>
      </c>
      <c r="G36" s="54">
        <v>560</v>
      </c>
      <c r="H36" s="52">
        <f t="shared" ref="H36:H41" si="19">F36*G36</f>
        <v>1411.2</v>
      </c>
      <c r="I36" s="54" t="s">
        <v>5</v>
      </c>
      <c r="J36" s="45"/>
      <c r="K36" s="46"/>
      <c r="L36" s="123"/>
      <c r="M36" s="123"/>
      <c r="N36" s="5" t="s">
        <v>30</v>
      </c>
    </row>
    <row r="37" spans="1:15" x14ac:dyDescent="0.35">
      <c r="C37" s="52" t="s">
        <v>31</v>
      </c>
      <c r="D37" s="53" t="str">
        <f>C37</f>
        <v>BBBY</v>
      </c>
      <c r="E37" s="53">
        <f ca="1">E36</f>
        <v>7.8899999999999998E-2</v>
      </c>
      <c r="F37" s="70">
        <f ca="1">E37</f>
        <v>7.8899999999999998E-2</v>
      </c>
      <c r="G37" s="54">
        <f>G36</f>
        <v>560</v>
      </c>
      <c r="H37" s="52">
        <f t="shared" ca="1" si="19"/>
        <v>44.183999999999997</v>
      </c>
      <c r="I37" s="54"/>
      <c r="J37" s="10">
        <f ca="1">H37-H36</f>
        <v>-1367.0160000000001</v>
      </c>
      <c r="K37" s="7">
        <f ca="1">(H37/H36)-100%</f>
        <v>-0.96869047619047621</v>
      </c>
      <c r="L37" s="11"/>
      <c r="M37" s="11"/>
    </row>
    <row r="38" spans="1:15" x14ac:dyDescent="0.35">
      <c r="B38" s="156" t="s">
        <v>32</v>
      </c>
      <c r="C38" s="47" t="e" vm="8">
        <v>#VALUE!</v>
      </c>
      <c r="D38" s="47" t="e" vm="8">
        <v>#VALUE!</v>
      </c>
      <c r="E38" s="47" cm="1">
        <f t="array" aca="1" ref="E38" ca="1">_FV(D38,"Price")</f>
        <v>4.7789000000000001</v>
      </c>
      <c r="F38" s="47">
        <v>43.59</v>
      </c>
      <c r="G38" s="48">
        <v>388</v>
      </c>
      <c r="H38" s="47">
        <f t="shared" si="19"/>
        <v>16912.920000000002</v>
      </c>
      <c r="I38" s="47" t="s">
        <v>5</v>
      </c>
      <c r="J38" s="10"/>
      <c r="K38" s="7"/>
      <c r="L38" s="11"/>
      <c r="M38" s="11"/>
    </row>
    <row r="39" spans="1:15" x14ac:dyDescent="0.35">
      <c r="B39" s="156"/>
      <c r="C39" s="47" t="s">
        <v>27</v>
      </c>
      <c r="D39" s="47" t="s">
        <v>27</v>
      </c>
      <c r="E39" s="47">
        <f ca="1">E38</f>
        <v>4.7789000000000001</v>
      </c>
      <c r="F39" s="47">
        <v>4.47</v>
      </c>
      <c r="G39" s="48">
        <f>G38</f>
        <v>388</v>
      </c>
      <c r="H39" s="47">
        <f t="shared" si="19"/>
        <v>1734.36</v>
      </c>
      <c r="I39" s="47"/>
      <c r="J39" s="10">
        <f>H39-H38</f>
        <v>-15178.560000000001</v>
      </c>
      <c r="K39" s="7">
        <f>(H39/H38)-100%</f>
        <v>-0.8974535443909154</v>
      </c>
      <c r="L39" s="11"/>
      <c r="M39" s="11"/>
      <c r="N39" s="5" t="s">
        <v>14</v>
      </c>
    </row>
    <row r="40" spans="1:15" ht="29.3" customHeight="1" x14ac:dyDescent="0.35">
      <c r="B40" s="157" t="s">
        <v>33</v>
      </c>
      <c r="C40" s="47" t="e" vm="8">
        <v>#VALUE!</v>
      </c>
      <c r="D40" s="47" t="e" vm="8">
        <v>#VALUE!</v>
      </c>
      <c r="E40" s="47" cm="1">
        <f t="array" aca="1" ref="E40" ca="1">_FV(D40,"Price")</f>
        <v>4.7789000000000001</v>
      </c>
      <c r="F40" s="47">
        <v>22.9</v>
      </c>
      <c r="G40" s="48">
        <v>71</v>
      </c>
      <c r="H40" s="47">
        <f t="shared" si="19"/>
        <v>1625.8999999999999</v>
      </c>
      <c r="I40" s="47" t="s">
        <v>5</v>
      </c>
      <c r="J40" s="10"/>
      <c r="K40" s="7"/>
      <c r="L40" s="11"/>
      <c r="M40" s="11"/>
    </row>
    <row r="41" spans="1:15" x14ac:dyDescent="0.35">
      <c r="B41" s="157"/>
      <c r="C41" s="47" t="s">
        <v>27</v>
      </c>
      <c r="D41" s="47" t="s">
        <v>27</v>
      </c>
      <c r="E41" s="47">
        <f ca="1">E40</f>
        <v>4.7789000000000001</v>
      </c>
      <c r="F41" s="47">
        <v>4.47</v>
      </c>
      <c r="G41" s="48">
        <f>G40</f>
        <v>71</v>
      </c>
      <c r="H41" s="47">
        <f t="shared" si="19"/>
        <v>317.37</v>
      </c>
      <c r="I41" s="47"/>
      <c r="J41" s="10">
        <f>H41-H40</f>
        <v>-1308.5299999999997</v>
      </c>
      <c r="K41" s="7">
        <f>(H41/H40)-100%</f>
        <v>-0.80480349344978164</v>
      </c>
      <c r="L41" s="11"/>
      <c r="M41" s="11"/>
      <c r="N41" s="5" t="s">
        <v>14</v>
      </c>
    </row>
    <row r="42" spans="1:15" x14ac:dyDescent="0.35">
      <c r="A42" s="5">
        <v>1</v>
      </c>
      <c r="B42" s="6" t="s">
        <v>9</v>
      </c>
      <c r="C42" s="13" t="e" vm="10">
        <v>#VALUE!</v>
      </c>
      <c r="D42" s="5" t="e" vm="10">
        <v>#VALUE!</v>
      </c>
      <c r="E42" s="13" cm="1">
        <f t="array" aca="1" ref="E42" ca="1">_FV(D42,"Price")</f>
        <v>2.3849999999999998</v>
      </c>
      <c r="F42" s="13">
        <v>64.45</v>
      </c>
      <c r="G42" s="14">
        <v>98</v>
      </c>
      <c r="H42" s="13">
        <f>F42*G42</f>
        <v>6316.1</v>
      </c>
      <c r="I42" s="14" t="s">
        <v>5</v>
      </c>
      <c r="J42" s="10"/>
      <c r="K42" s="7"/>
      <c r="L42" s="11"/>
      <c r="M42" s="11"/>
      <c r="O42" s="5" t="e">
        <f>#REF!</f>
        <v>#REF!</v>
      </c>
    </row>
    <row r="43" spans="1:15" x14ac:dyDescent="0.35">
      <c r="A43" s="5">
        <v>1</v>
      </c>
      <c r="C43" s="13" t="s">
        <v>34</v>
      </c>
      <c r="D43" s="5" t="str">
        <f>C43</f>
        <v>BZUN</v>
      </c>
      <c r="E43" s="5">
        <f ca="1">E42</f>
        <v>2.3849999999999998</v>
      </c>
      <c r="F43" s="13">
        <f ca="1">E43</f>
        <v>2.3849999999999998</v>
      </c>
      <c r="G43" s="14">
        <f>G42</f>
        <v>98</v>
      </c>
      <c r="H43" s="13">
        <f ca="1">F43*G43</f>
        <v>233.73</v>
      </c>
      <c r="I43" s="14"/>
      <c r="J43" s="10">
        <f ca="1">H43-H42</f>
        <v>-6082.3700000000008</v>
      </c>
      <c r="K43" s="7">
        <f ca="1">(H43/H42)-100%</f>
        <v>-0.96299456943366946</v>
      </c>
      <c r="L43" s="11"/>
      <c r="M43" s="11"/>
      <c r="O43" s="5" t="e">
        <f>#REF!</f>
        <v>#REF!</v>
      </c>
    </row>
    <row r="44" spans="1:15" ht="29.3" customHeight="1" x14ac:dyDescent="0.35">
      <c r="B44" s="157" t="s">
        <v>33</v>
      </c>
      <c r="C44" s="47" t="e" vm="8">
        <v>#VALUE!</v>
      </c>
      <c r="D44" s="47" t="e" vm="8">
        <v>#VALUE!</v>
      </c>
      <c r="E44" s="47" cm="1">
        <f t="array" aca="1" ref="E44" ca="1">_FV(D44,"Price")</f>
        <v>4.7789000000000001</v>
      </c>
      <c r="F44" s="47">
        <v>20.93</v>
      </c>
      <c r="G44" s="48">
        <v>20</v>
      </c>
      <c r="H44" s="47">
        <f t="shared" ref="H44:H49" si="20">F44*G44</f>
        <v>418.6</v>
      </c>
      <c r="I44" s="47" t="s">
        <v>5</v>
      </c>
      <c r="J44" s="10"/>
      <c r="K44" s="7"/>
      <c r="L44" s="11"/>
      <c r="M44" s="11"/>
    </row>
    <row r="45" spans="1:15" x14ac:dyDescent="0.35">
      <c r="B45" s="157"/>
      <c r="C45" s="47" t="s">
        <v>27</v>
      </c>
      <c r="D45" s="47" t="s">
        <v>27</v>
      </c>
      <c r="E45" s="47">
        <f ca="1">E44</f>
        <v>4.7789000000000001</v>
      </c>
      <c r="F45" s="47">
        <v>4.47</v>
      </c>
      <c r="G45" s="48">
        <f>G44</f>
        <v>20</v>
      </c>
      <c r="H45" s="47">
        <f t="shared" si="20"/>
        <v>89.399999999999991</v>
      </c>
      <c r="I45" s="47"/>
      <c r="J45" s="10">
        <f>H45-H44</f>
        <v>-329.20000000000005</v>
      </c>
      <c r="K45" s="7">
        <f>(H45/H44)-100%</f>
        <v>-0.78643096034400384</v>
      </c>
      <c r="L45" s="11"/>
      <c r="M45" s="11"/>
      <c r="N45" s="5" t="s">
        <v>14</v>
      </c>
    </row>
    <row r="46" spans="1:15" x14ac:dyDescent="0.35">
      <c r="A46" s="5">
        <v>1</v>
      </c>
      <c r="B46" s="135" t="s">
        <v>35</v>
      </c>
      <c r="C46" s="13" t="s">
        <v>36</v>
      </c>
      <c r="D46" s="5" t="e" vm="11">
        <v>#VALUE!</v>
      </c>
      <c r="E46" s="13" cm="1">
        <f t="array" aca="1" ref="E46" ca="1">_FV(D46,"Price")</f>
        <v>396.80220000000003</v>
      </c>
      <c r="F46" s="13">
        <f>468/3</f>
        <v>156</v>
      </c>
      <c r="G46" s="14">
        <f>5*3</f>
        <v>15</v>
      </c>
      <c r="H46" s="13">
        <f t="shared" si="20"/>
        <v>2340</v>
      </c>
      <c r="I46" s="14" t="s">
        <v>5</v>
      </c>
      <c r="J46" s="10"/>
      <c r="K46" s="7"/>
      <c r="L46" s="83"/>
      <c r="M46" s="11"/>
    </row>
    <row r="47" spans="1:15" ht="28.8" x14ac:dyDescent="0.35">
      <c r="A47" s="5">
        <v>1</v>
      </c>
      <c r="B47" s="136"/>
      <c r="C47" s="13" t="s">
        <v>37</v>
      </c>
      <c r="D47" s="5" t="str">
        <f>C47</f>
        <v>TSLA</v>
      </c>
      <c r="E47" s="5">
        <f ca="1">E46</f>
        <v>396.80220000000003</v>
      </c>
      <c r="F47" s="13">
        <f ca="1">E47</f>
        <v>396.80220000000003</v>
      </c>
      <c r="G47" s="14">
        <f>G46</f>
        <v>15</v>
      </c>
      <c r="H47" s="13">
        <f t="shared" ca="1" si="20"/>
        <v>5952.0330000000004</v>
      </c>
      <c r="I47" s="14"/>
      <c r="J47" s="10">
        <f ca="1">H47-H46</f>
        <v>3612.0330000000004</v>
      </c>
      <c r="K47" s="7">
        <f ca="1">(H47/H46)-100%</f>
        <v>1.5436038461538462</v>
      </c>
      <c r="L47" s="83"/>
      <c r="M47" s="11"/>
      <c r="O47" s="6" t="s">
        <v>38</v>
      </c>
    </row>
    <row r="48" spans="1:15" x14ac:dyDescent="0.35">
      <c r="B48" s="143" t="s">
        <v>32</v>
      </c>
      <c r="C48" s="63" t="s">
        <v>36</v>
      </c>
      <c r="D48" s="63" t="e" vm="11">
        <v>#VALUE!</v>
      </c>
      <c r="E48" s="63" cm="1">
        <f t="array" aca="1" ref="E48" ca="1">_FV(D48,"Price")</f>
        <v>396.80220000000003</v>
      </c>
      <c r="F48" s="63">
        <v>305.20999999999998</v>
      </c>
      <c r="G48" s="20">
        <v>84</v>
      </c>
      <c r="H48" s="63">
        <f t="shared" si="20"/>
        <v>25637.64</v>
      </c>
      <c r="I48" s="63" t="s">
        <v>5</v>
      </c>
      <c r="J48" s="10"/>
      <c r="K48" s="7"/>
      <c r="L48" s="83"/>
      <c r="M48" s="11"/>
    </row>
    <row r="49" spans="1:15" x14ac:dyDescent="0.35">
      <c r="B49" s="143"/>
      <c r="C49" s="63" t="s">
        <v>37</v>
      </c>
      <c r="D49" s="63" t="str">
        <f>C49</f>
        <v>TSLA</v>
      </c>
      <c r="E49" s="63">
        <f ca="1">E48</f>
        <v>396.80220000000003</v>
      </c>
      <c r="F49" s="63">
        <v>305.02999999999997</v>
      </c>
      <c r="G49" s="20">
        <f>G48</f>
        <v>84</v>
      </c>
      <c r="H49" s="63">
        <f t="shared" si="20"/>
        <v>25622.519999999997</v>
      </c>
      <c r="I49" s="63"/>
      <c r="J49" s="10">
        <f>H49-H48</f>
        <v>-15.120000000002619</v>
      </c>
      <c r="K49" s="7">
        <f>(H49/H48)-100%</f>
        <v>-5.8975787162951487E-4</v>
      </c>
      <c r="L49" s="83"/>
      <c r="M49" s="11"/>
      <c r="N49" s="5" t="s">
        <v>39</v>
      </c>
    </row>
    <row r="50" spans="1:15" ht="14.65" customHeight="1" x14ac:dyDescent="0.35">
      <c r="B50" s="168" t="s">
        <v>40</v>
      </c>
      <c r="C50" s="63" t="e" vm="11">
        <v>#VALUE!</v>
      </c>
      <c r="D50" s="63" t="e" vm="11">
        <v>#VALUE!</v>
      </c>
      <c r="E50" s="63" cm="1">
        <f t="array" aca="1" ref="E50" ca="1">_FV(D50,"Price")</f>
        <v>396.80220000000003</v>
      </c>
      <c r="F50" s="63">
        <v>289.97000000000003</v>
      </c>
      <c r="G50" s="20">
        <v>4</v>
      </c>
      <c r="H50" s="63">
        <f t="shared" ref="H50:H51" si="21">F50*G50</f>
        <v>1159.8800000000001</v>
      </c>
      <c r="I50" s="63" t="s">
        <v>5</v>
      </c>
      <c r="J50" s="10"/>
      <c r="K50" s="7"/>
      <c r="L50" s="83"/>
      <c r="M50" s="11"/>
    </row>
    <row r="51" spans="1:15" x14ac:dyDescent="0.35">
      <c r="B51" s="169"/>
      <c r="C51" s="63" t="s">
        <v>37</v>
      </c>
      <c r="D51" s="63" t="str">
        <f>C51</f>
        <v>TSLA</v>
      </c>
      <c r="E51" s="63">
        <f ca="1">E50</f>
        <v>396.80220000000003</v>
      </c>
      <c r="F51" s="63">
        <v>291.83999999999997</v>
      </c>
      <c r="G51" s="20">
        <f>G50</f>
        <v>4</v>
      </c>
      <c r="H51" s="63">
        <f t="shared" si="21"/>
        <v>1167.3599999999999</v>
      </c>
      <c r="I51" s="63"/>
      <c r="J51" s="10">
        <f>H51-H50</f>
        <v>7.4799999999997908</v>
      </c>
      <c r="K51" s="7">
        <f>(H51/H50)-100%</f>
        <v>6.4489429941025911E-3</v>
      </c>
      <c r="L51" s="83"/>
      <c r="M51" s="11"/>
    </row>
    <row r="52" spans="1:15" ht="14.65" customHeight="1" x14ac:dyDescent="0.35">
      <c r="B52" s="168" t="s">
        <v>35</v>
      </c>
      <c r="C52" s="63" t="e" vm="11">
        <v>#VALUE!</v>
      </c>
      <c r="D52" s="63" t="e" vm="11">
        <v>#VALUE!</v>
      </c>
      <c r="E52" s="63" cm="1">
        <f t="array" aca="1" ref="E52" ca="1">_FV(D52,"Price")</f>
        <v>396.80220000000003</v>
      </c>
      <c r="F52" s="63">
        <f>1225.39/3</f>
        <v>408.46333333333337</v>
      </c>
      <c r="G52" s="20">
        <f>25*3</f>
        <v>75</v>
      </c>
      <c r="H52" s="63">
        <f>F52*G52</f>
        <v>30634.750000000004</v>
      </c>
      <c r="I52" s="63" t="s">
        <v>5</v>
      </c>
      <c r="J52" s="45"/>
      <c r="K52" s="46"/>
      <c r="L52" s="83"/>
      <c r="M52" s="123"/>
    </row>
    <row r="53" spans="1:15" x14ac:dyDescent="0.35">
      <c r="B53" s="169"/>
      <c r="C53" s="63" t="s">
        <v>37</v>
      </c>
      <c r="D53" s="63" t="str">
        <f>C53</f>
        <v>TSLA</v>
      </c>
      <c r="E53" s="63">
        <f ca="1">E52</f>
        <v>396.80220000000003</v>
      </c>
      <c r="F53" s="63">
        <v>403.71</v>
      </c>
      <c r="G53" s="20">
        <f>G52</f>
        <v>75</v>
      </c>
      <c r="H53" s="63">
        <f>F53*G53</f>
        <v>30278.25</v>
      </c>
      <c r="I53" s="63"/>
      <c r="J53" s="45">
        <f>H53-H52</f>
        <v>-356.50000000000364</v>
      </c>
      <c r="K53" s="46">
        <f>(H53/H52)-100%</f>
        <v>-1.1637111450232274E-2</v>
      </c>
      <c r="L53" s="83"/>
      <c r="M53" s="123"/>
      <c r="N53" s="51" t="s">
        <v>41</v>
      </c>
    </row>
    <row r="54" spans="1:15" x14ac:dyDescent="0.35">
      <c r="B54" s="168" t="s">
        <v>42</v>
      </c>
      <c r="C54" s="63" t="e" vm="11">
        <v>#VALUE!</v>
      </c>
      <c r="D54" s="63" t="e" vm="11">
        <v>#VALUE!</v>
      </c>
      <c r="E54" s="63" cm="1">
        <f t="array" aca="1" ref="E54" ca="1">_FV(D54,"Price")</f>
        <v>396.80220000000003</v>
      </c>
      <c r="F54" s="63">
        <v>266.74</v>
      </c>
      <c r="G54" s="20">
        <v>5</v>
      </c>
      <c r="H54" s="63">
        <f t="shared" ref="H54:H55" si="22">F54*G54</f>
        <v>1333.7</v>
      </c>
      <c r="I54" s="63" t="s">
        <v>5</v>
      </c>
      <c r="J54" s="10"/>
      <c r="K54" s="7"/>
      <c r="L54" s="83"/>
      <c r="M54" s="11"/>
    </row>
    <row r="55" spans="1:15" x14ac:dyDescent="0.35">
      <c r="B55" s="169"/>
      <c r="C55" s="63" t="s">
        <v>37</v>
      </c>
      <c r="D55" s="63" t="str">
        <f>C55</f>
        <v>TSLA</v>
      </c>
      <c r="E55" s="63">
        <f ca="1">E54</f>
        <v>396.80220000000003</v>
      </c>
      <c r="F55" s="63">
        <v>274.70999999999998</v>
      </c>
      <c r="G55" s="20">
        <f>G54</f>
        <v>5</v>
      </c>
      <c r="H55" s="63">
        <f t="shared" si="22"/>
        <v>1373.55</v>
      </c>
      <c r="I55" s="63"/>
      <c r="J55" s="10">
        <f>H55-H54</f>
        <v>39.849999999999909</v>
      </c>
      <c r="K55" s="7">
        <f>(H55/H54)-100%</f>
        <v>2.9879283197120632E-2</v>
      </c>
      <c r="L55" s="83"/>
      <c r="M55" s="11"/>
      <c r="N55" s="5" t="s">
        <v>43</v>
      </c>
    </row>
    <row r="56" spans="1:15" x14ac:dyDescent="0.35">
      <c r="A56" s="5">
        <v>1</v>
      </c>
      <c r="B56" s="135" t="s">
        <v>35</v>
      </c>
      <c r="C56" s="20" t="e" vm="11">
        <v>#VALUE!</v>
      </c>
      <c r="D56" s="20" t="e" vm="11">
        <v>#VALUE!</v>
      </c>
      <c r="E56" s="20" cm="1">
        <f t="array" aca="1" ref="E56" ca="1">_FV(D56,"Price")</f>
        <v>396.80220000000003</v>
      </c>
      <c r="F56" s="20">
        <v>245.46</v>
      </c>
      <c r="G56" s="21">
        <v>2</v>
      </c>
      <c r="H56" s="20">
        <f t="shared" ref="H56:H63" si="23">F56*G56</f>
        <v>490.92</v>
      </c>
      <c r="I56" s="20" t="s">
        <v>5</v>
      </c>
      <c r="J56" s="10"/>
      <c r="K56" s="7"/>
      <c r="L56" s="83"/>
      <c r="M56" s="11"/>
    </row>
    <row r="57" spans="1:15" ht="28.8" x14ac:dyDescent="0.35">
      <c r="A57" s="5">
        <v>1</v>
      </c>
      <c r="B57" s="136"/>
      <c r="C57" s="20" t="s">
        <v>37</v>
      </c>
      <c r="D57" s="20" t="str">
        <f>C57</f>
        <v>TSLA</v>
      </c>
      <c r="E57" s="20">
        <f ca="1">E56</f>
        <v>396.80220000000003</v>
      </c>
      <c r="F57" s="20">
        <f ca="1">E57</f>
        <v>396.80220000000003</v>
      </c>
      <c r="G57" s="21">
        <f>G56</f>
        <v>2</v>
      </c>
      <c r="H57" s="20">
        <f t="shared" ca="1" si="23"/>
        <v>793.60440000000006</v>
      </c>
      <c r="I57" s="20"/>
      <c r="J57" s="10">
        <f ca="1">H57-H56</f>
        <v>302.68440000000004</v>
      </c>
      <c r="K57" s="7">
        <f ca="1">(H57/H56)-100%</f>
        <v>0.61656563187484736</v>
      </c>
      <c r="L57" s="83"/>
      <c r="M57" s="11"/>
      <c r="O57" s="6" t="s">
        <v>38</v>
      </c>
    </row>
    <row r="58" spans="1:15" x14ac:dyDescent="0.35">
      <c r="A58" s="5">
        <v>1</v>
      </c>
      <c r="B58" s="160" t="s">
        <v>44</v>
      </c>
      <c r="C58" s="16" t="e" vm="12">
        <v>#VALUE!</v>
      </c>
      <c r="D58" s="16" t="e" vm="12">
        <v>#VALUE!</v>
      </c>
      <c r="E58" s="16" cm="1">
        <f t="array" aca="1" ref="E58" ca="1">_FV(D58,"Price")</f>
        <v>1.825</v>
      </c>
      <c r="F58" s="16">
        <v>8.25</v>
      </c>
      <c r="G58" s="17">
        <v>870</v>
      </c>
      <c r="H58" s="16">
        <f t="shared" si="23"/>
        <v>7177.5</v>
      </c>
      <c r="I58" s="16" t="s">
        <v>5</v>
      </c>
      <c r="J58" s="10"/>
      <c r="K58" s="7"/>
      <c r="L58" s="83"/>
      <c r="M58" s="11"/>
      <c r="O58" s="5">
        <f t="shared" ref="O58:O59" si="24">J58</f>
        <v>0</v>
      </c>
    </row>
    <row r="59" spans="1:15" x14ac:dyDescent="0.35">
      <c r="A59" s="5">
        <v>1</v>
      </c>
      <c r="B59" s="160"/>
      <c r="C59" s="16" t="s">
        <v>45</v>
      </c>
      <c r="D59" s="16" t="str">
        <f>C59</f>
        <v>NNDM</v>
      </c>
      <c r="E59" s="16">
        <f ca="1">E58</f>
        <v>1.825</v>
      </c>
      <c r="F59" s="16">
        <f ca="1">E59</f>
        <v>1.825</v>
      </c>
      <c r="G59" s="17">
        <f>G58</f>
        <v>870</v>
      </c>
      <c r="H59" s="16">
        <f t="shared" ca="1" si="23"/>
        <v>1587.75</v>
      </c>
      <c r="I59" s="16"/>
      <c r="J59" s="10">
        <f ca="1">H59-H58</f>
        <v>-5589.75</v>
      </c>
      <c r="K59" s="7">
        <f ca="1">(H59/H58)-100%</f>
        <v>-0.77878787878787881</v>
      </c>
      <c r="L59" s="83"/>
      <c r="M59" s="11"/>
      <c r="O59" s="5">
        <f t="shared" ca="1" si="24"/>
        <v>-5589.75</v>
      </c>
    </row>
    <row r="60" spans="1:15" x14ac:dyDescent="0.35">
      <c r="B60" s="170" t="s">
        <v>42</v>
      </c>
      <c r="C60" s="63" t="e" vm="11">
        <v>#VALUE!</v>
      </c>
      <c r="D60" s="63" t="e" vm="11">
        <v>#VALUE!</v>
      </c>
      <c r="E60" s="63" cm="1">
        <f t="array" aca="1" ref="E60" ca="1">_FV(D60,"Price")</f>
        <v>396.80220000000003</v>
      </c>
      <c r="F60" s="63">
        <v>243.86</v>
      </c>
      <c r="G60" s="64">
        <v>15</v>
      </c>
      <c r="H60" s="63">
        <f t="shared" si="23"/>
        <v>3657.9</v>
      </c>
      <c r="I60" s="63" t="s">
        <v>5</v>
      </c>
      <c r="J60" s="10"/>
      <c r="K60" s="7"/>
      <c r="L60" s="83"/>
      <c r="M60" s="11"/>
    </row>
    <row r="61" spans="1:15" x14ac:dyDescent="0.35">
      <c r="B61" s="170"/>
      <c r="C61" s="63" t="s">
        <v>37</v>
      </c>
      <c r="D61" s="63" t="str">
        <f>C61</f>
        <v>TSLA</v>
      </c>
      <c r="E61" s="63">
        <f ca="1">E60</f>
        <v>396.80220000000003</v>
      </c>
      <c r="F61" s="63">
        <v>254.81</v>
      </c>
      <c r="G61" s="64">
        <f>G60</f>
        <v>15</v>
      </c>
      <c r="H61" s="63">
        <f t="shared" si="23"/>
        <v>3822.15</v>
      </c>
      <c r="I61" s="63"/>
      <c r="J61" s="10">
        <f>H61-H60</f>
        <v>164.25</v>
      </c>
      <c r="K61" s="7">
        <f>(H61/H60)-100%</f>
        <v>4.4902813089477522E-2</v>
      </c>
      <c r="L61" s="83"/>
      <c r="M61" s="11"/>
      <c r="N61" s="5" t="s">
        <v>46</v>
      </c>
    </row>
    <row r="62" spans="1:15" x14ac:dyDescent="0.35">
      <c r="B62" s="161" t="s">
        <v>32</v>
      </c>
      <c r="C62" s="63" t="e" vm="12">
        <v>#VALUE!</v>
      </c>
      <c r="D62" s="63" t="e" vm="12">
        <v>#VALUE!</v>
      </c>
      <c r="E62" s="63" cm="1">
        <f t="array" aca="1" ref="E62" ca="1">_FV(D62,"Price")</f>
        <v>1.825</v>
      </c>
      <c r="F62" s="63">
        <v>9.1999999999999993</v>
      </c>
      <c r="G62" s="64">
        <v>110</v>
      </c>
      <c r="H62" s="63">
        <f t="shared" si="23"/>
        <v>1011.9999999999999</v>
      </c>
      <c r="I62" s="63" t="s">
        <v>5</v>
      </c>
      <c r="J62" s="10"/>
      <c r="K62" s="7"/>
      <c r="L62" s="83"/>
      <c r="M62" s="11"/>
      <c r="O62" s="5">
        <f t="shared" ref="O62:O63" si="25">J62</f>
        <v>0</v>
      </c>
    </row>
    <row r="63" spans="1:15" x14ac:dyDescent="0.35">
      <c r="B63" s="162"/>
      <c r="C63" s="79" t="s">
        <v>45</v>
      </c>
      <c r="D63" s="63" t="str">
        <f>C63</f>
        <v>NNDM</v>
      </c>
      <c r="E63" s="63">
        <f ca="1">E62</f>
        <v>1.825</v>
      </c>
      <c r="F63" s="63">
        <v>2.4900000000000002</v>
      </c>
      <c r="G63" s="64">
        <f>G62</f>
        <v>110</v>
      </c>
      <c r="H63" s="63">
        <f t="shared" si="23"/>
        <v>273.90000000000003</v>
      </c>
      <c r="I63" s="63"/>
      <c r="J63" s="10">
        <f>H63-H62</f>
        <v>-738.09999999999991</v>
      </c>
      <c r="K63" s="7">
        <f>(H63/H62)-100%</f>
        <v>-0.72934782608695647</v>
      </c>
      <c r="L63" s="83"/>
      <c r="M63" s="11"/>
      <c r="N63" s="5" t="s">
        <v>14</v>
      </c>
      <c r="O63" s="5">
        <f t="shared" si="25"/>
        <v>-738.09999999999991</v>
      </c>
    </row>
    <row r="64" spans="1:15" x14ac:dyDescent="0.35">
      <c r="B64" s="161" t="s">
        <v>32</v>
      </c>
      <c r="C64" s="63" t="e" vm="12">
        <v>#VALUE!</v>
      </c>
      <c r="D64" s="63" t="e" vm="12">
        <v>#VALUE!</v>
      </c>
      <c r="E64" s="63" cm="1">
        <f t="array" aca="1" ref="E64" ca="1">_FV(D64,"Price")</f>
        <v>1.825</v>
      </c>
      <c r="F64" s="63">
        <v>8.07</v>
      </c>
      <c r="G64" s="64">
        <v>150</v>
      </c>
      <c r="H64" s="63">
        <f t="shared" ref="H64:H91" si="26">F64*G64</f>
        <v>1210.5</v>
      </c>
      <c r="I64" s="63" t="s">
        <v>5</v>
      </c>
      <c r="J64" s="10"/>
      <c r="K64" s="7"/>
      <c r="L64" s="83"/>
      <c r="M64" s="11"/>
      <c r="O64" s="5">
        <f t="shared" ref="O64:O65" si="27">J64</f>
        <v>0</v>
      </c>
    </row>
    <row r="65" spans="1:15" x14ac:dyDescent="0.35">
      <c r="B65" s="162"/>
      <c r="C65" s="79" t="s">
        <v>45</v>
      </c>
      <c r="D65" s="63" t="str">
        <f t="shared" ref="D65" si="28">C65</f>
        <v>NNDM</v>
      </c>
      <c r="E65" s="63">
        <f ca="1">E64</f>
        <v>1.825</v>
      </c>
      <c r="F65" s="63">
        <v>2.4900000000000002</v>
      </c>
      <c r="G65" s="64">
        <f>G64</f>
        <v>150</v>
      </c>
      <c r="H65" s="63">
        <f t="shared" si="26"/>
        <v>373.50000000000006</v>
      </c>
      <c r="I65" s="63"/>
      <c r="J65" s="10">
        <f>H65-H64</f>
        <v>-837</v>
      </c>
      <c r="K65" s="7">
        <f>(H65/H64)-100%</f>
        <v>-0.69144981412639406</v>
      </c>
      <c r="L65" s="83"/>
      <c r="M65" s="11"/>
      <c r="N65" s="5" t="s">
        <v>14</v>
      </c>
      <c r="O65" s="5">
        <f t="shared" si="27"/>
        <v>-837</v>
      </c>
    </row>
    <row r="66" spans="1:15" x14ac:dyDescent="0.35">
      <c r="B66" s="163" t="s">
        <v>26</v>
      </c>
      <c r="C66" s="63" t="e" vm="12">
        <v>#VALUE!</v>
      </c>
      <c r="D66" s="63" t="e" vm="12">
        <v>#VALUE!</v>
      </c>
      <c r="E66" s="63" cm="1">
        <f t="array" aca="1" ref="E66" ca="1">_FV(D66,"Price")</f>
        <v>1.825</v>
      </c>
      <c r="F66" s="63">
        <v>14.88</v>
      </c>
      <c r="G66" s="64">
        <v>200</v>
      </c>
      <c r="H66" s="63">
        <f t="shared" si="26"/>
        <v>2976</v>
      </c>
      <c r="I66" s="63" t="s">
        <v>5</v>
      </c>
      <c r="J66" s="10"/>
      <c r="K66" s="7"/>
      <c r="L66" s="83"/>
      <c r="M66" s="11"/>
    </row>
    <row r="67" spans="1:15" x14ac:dyDescent="0.35">
      <c r="B67" s="163"/>
      <c r="C67" s="79" t="s">
        <v>45</v>
      </c>
      <c r="D67" s="63" t="str">
        <f>C67</f>
        <v>NNDM</v>
      </c>
      <c r="E67" s="63">
        <f ca="1">E66</f>
        <v>1.825</v>
      </c>
      <c r="F67" s="63">
        <v>2.4900000000000002</v>
      </c>
      <c r="G67" s="64">
        <f>G66</f>
        <v>200</v>
      </c>
      <c r="H67" s="63">
        <f t="shared" si="26"/>
        <v>498.00000000000006</v>
      </c>
      <c r="I67" s="63"/>
      <c r="J67" s="10">
        <f>H67-H66</f>
        <v>-2478</v>
      </c>
      <c r="K67" s="7">
        <f>(H67/H66)-100%</f>
        <v>-0.83266129032258063</v>
      </c>
      <c r="L67" s="83"/>
      <c r="M67" s="11"/>
      <c r="N67" s="5" t="s">
        <v>14</v>
      </c>
    </row>
    <row r="68" spans="1:15" x14ac:dyDescent="0.35">
      <c r="B68" s="163" t="s">
        <v>26</v>
      </c>
      <c r="C68" s="63" t="e" vm="12">
        <v>#VALUE!</v>
      </c>
      <c r="D68" s="63" t="e" vm="12">
        <v>#VALUE!</v>
      </c>
      <c r="E68" s="63" cm="1">
        <f t="array" aca="1" ref="E68" ca="1">_FV(D68,"Price")</f>
        <v>1.825</v>
      </c>
      <c r="F68" s="63">
        <v>13.12</v>
      </c>
      <c r="G68" s="64">
        <v>200</v>
      </c>
      <c r="H68" s="63">
        <f t="shared" si="26"/>
        <v>2624</v>
      </c>
      <c r="I68" s="63" t="s">
        <v>5</v>
      </c>
      <c r="J68" s="10"/>
      <c r="K68" s="7"/>
      <c r="L68" s="83"/>
      <c r="M68" s="11"/>
    </row>
    <row r="69" spans="1:15" x14ac:dyDescent="0.35">
      <c r="B69" s="163"/>
      <c r="C69" s="79" t="s">
        <v>45</v>
      </c>
      <c r="D69" s="63" t="str">
        <f t="shared" ref="D69" si="29">C69</f>
        <v>NNDM</v>
      </c>
      <c r="E69" s="63">
        <f ca="1">E68</f>
        <v>1.825</v>
      </c>
      <c r="F69" s="63">
        <v>2.4900000000000002</v>
      </c>
      <c r="G69" s="64">
        <f>G68</f>
        <v>200</v>
      </c>
      <c r="H69" s="63">
        <f t="shared" si="26"/>
        <v>498.00000000000006</v>
      </c>
      <c r="I69" s="63"/>
      <c r="J69" s="10">
        <f>H69-H68</f>
        <v>-2126</v>
      </c>
      <c r="K69" s="7">
        <f>(H69/H68)-100%</f>
        <v>-0.81021341463414631</v>
      </c>
      <c r="L69" s="83"/>
      <c r="M69" s="11"/>
      <c r="N69" s="5" t="s">
        <v>14</v>
      </c>
    </row>
    <row r="70" spans="1:15" x14ac:dyDescent="0.35">
      <c r="B70" s="161" t="s">
        <v>32</v>
      </c>
      <c r="C70" s="63" t="e" vm="12">
        <v>#VALUE!</v>
      </c>
      <c r="D70" s="63" t="e" vm="12">
        <v>#VALUE!</v>
      </c>
      <c r="E70" s="63" cm="1">
        <f t="array" aca="1" ref="E70" ca="1">_FV(D70,"Price")</f>
        <v>1.825</v>
      </c>
      <c r="F70" s="63">
        <v>10.61</v>
      </c>
      <c r="G70" s="64">
        <v>200</v>
      </c>
      <c r="H70" s="63">
        <f t="shared" si="26"/>
        <v>2122</v>
      </c>
      <c r="I70" s="63" t="s">
        <v>5</v>
      </c>
      <c r="J70" s="10"/>
      <c r="K70" s="7"/>
      <c r="L70" s="83"/>
      <c r="M70" s="11"/>
    </row>
    <row r="71" spans="1:15" x14ac:dyDescent="0.35">
      <c r="B71" s="162"/>
      <c r="C71" s="79" t="s">
        <v>45</v>
      </c>
      <c r="D71" s="63" t="str">
        <f>C71</f>
        <v>NNDM</v>
      </c>
      <c r="E71" s="63">
        <f ca="1">E70</f>
        <v>1.825</v>
      </c>
      <c r="F71" s="63">
        <v>2.4900000000000002</v>
      </c>
      <c r="G71" s="64">
        <f>G70</f>
        <v>200</v>
      </c>
      <c r="H71" s="63">
        <f t="shared" si="26"/>
        <v>498.00000000000006</v>
      </c>
      <c r="I71" s="63"/>
      <c r="J71" s="10">
        <f>H71-H70</f>
        <v>-1624</v>
      </c>
      <c r="K71" s="7">
        <f>(H71/H70)-100%</f>
        <v>-0.76531573986804902</v>
      </c>
      <c r="L71" s="83"/>
      <c r="M71" s="11"/>
      <c r="N71" s="5" t="s">
        <v>14</v>
      </c>
    </row>
    <row r="72" spans="1:15" x14ac:dyDescent="0.35">
      <c r="B72" s="161" t="s">
        <v>32</v>
      </c>
      <c r="C72" s="63" t="e" vm="12">
        <v>#VALUE!</v>
      </c>
      <c r="D72" s="63" t="e" vm="12">
        <v>#VALUE!</v>
      </c>
      <c r="E72" s="63" cm="1">
        <f t="array" aca="1" ref="E72" ca="1">_FV(D72,"Price")</f>
        <v>1.825</v>
      </c>
      <c r="F72" s="63">
        <v>8.6999999999999993</v>
      </c>
      <c r="G72" s="64">
        <v>200</v>
      </c>
      <c r="H72" s="63">
        <f t="shared" si="26"/>
        <v>1739.9999999999998</v>
      </c>
      <c r="I72" s="63" t="s">
        <v>5</v>
      </c>
      <c r="J72" s="10"/>
      <c r="K72" s="7"/>
      <c r="L72" s="83"/>
      <c r="M72" s="11"/>
    </row>
    <row r="73" spans="1:15" x14ac:dyDescent="0.35">
      <c r="B73" s="162"/>
      <c r="C73" s="79" t="s">
        <v>45</v>
      </c>
      <c r="D73" s="63" t="str">
        <f>C73</f>
        <v>NNDM</v>
      </c>
      <c r="E73" s="63">
        <f ca="1">E72</f>
        <v>1.825</v>
      </c>
      <c r="F73" s="63">
        <v>2.4900000000000002</v>
      </c>
      <c r="G73" s="64">
        <f>G72</f>
        <v>200</v>
      </c>
      <c r="H73" s="63">
        <f t="shared" si="26"/>
        <v>498.00000000000006</v>
      </c>
      <c r="I73" s="63"/>
      <c r="J73" s="71">
        <f>H73-H72</f>
        <v>-1241.9999999999998</v>
      </c>
      <c r="K73" s="72">
        <f>(H73/H72)-100%</f>
        <v>-0.71379310344827585</v>
      </c>
      <c r="L73" s="83"/>
      <c r="M73" s="11"/>
      <c r="N73" s="5" t="s">
        <v>14</v>
      </c>
    </row>
    <row r="74" spans="1:15" x14ac:dyDescent="0.35">
      <c r="B74" s="164" t="s">
        <v>47</v>
      </c>
      <c r="C74" s="63" t="e" vm="12">
        <v>#VALUE!</v>
      </c>
      <c r="D74" s="63" t="e" vm="12">
        <v>#VALUE!</v>
      </c>
      <c r="E74" s="63" cm="1">
        <f t="array" aca="1" ref="E74" ca="1">_FV(D74,"Price")</f>
        <v>1.825</v>
      </c>
      <c r="F74" s="63">
        <v>7.53</v>
      </c>
      <c r="G74" s="64">
        <v>200</v>
      </c>
      <c r="H74" s="63">
        <f t="shared" si="26"/>
        <v>1506</v>
      </c>
      <c r="I74" s="63" t="s">
        <v>5</v>
      </c>
      <c r="J74" s="10"/>
      <c r="K74" s="7"/>
      <c r="L74" s="83"/>
      <c r="M74" s="11"/>
    </row>
    <row r="75" spans="1:15" x14ac:dyDescent="0.35">
      <c r="B75" s="165"/>
      <c r="C75" s="79" t="s">
        <v>45</v>
      </c>
      <c r="D75" s="63" t="str">
        <f>C75</f>
        <v>NNDM</v>
      </c>
      <c r="E75" s="63">
        <f ca="1">E74</f>
        <v>1.825</v>
      </c>
      <c r="F75" s="63">
        <v>1.5</v>
      </c>
      <c r="G75" s="64">
        <f>G74</f>
        <v>200</v>
      </c>
      <c r="H75" s="63">
        <f t="shared" si="26"/>
        <v>300</v>
      </c>
      <c r="I75" s="63"/>
      <c r="J75" s="10">
        <f>H75-H74</f>
        <v>-1206</v>
      </c>
      <c r="K75" s="7">
        <f>(H75/H74)-100%</f>
        <v>-0.80079681274900394</v>
      </c>
      <c r="L75" s="83"/>
      <c r="M75" s="11"/>
      <c r="N75" s="5" t="s">
        <v>48</v>
      </c>
    </row>
    <row r="76" spans="1:15" x14ac:dyDescent="0.35">
      <c r="A76" s="5">
        <v>1</v>
      </c>
      <c r="B76" s="97"/>
      <c r="C76" s="13" t="e" vm="2">
        <v>#VALUE!</v>
      </c>
      <c r="D76" s="13" t="e" vm="2">
        <f t="shared" ref="D76:D101" si="30">C76</f>
        <v>#VALUE!</v>
      </c>
      <c r="E76" s="13" cm="1">
        <f t="array" aca="1" ref="E76" ca="1">_FV(D76,"Price")</f>
        <v>1.1107</v>
      </c>
      <c r="F76" s="13">
        <v>12</v>
      </c>
      <c r="G76" s="14">
        <v>200</v>
      </c>
      <c r="H76" s="13">
        <f t="shared" si="26"/>
        <v>2400</v>
      </c>
      <c r="I76" s="13" t="s">
        <v>5</v>
      </c>
      <c r="J76" s="10"/>
      <c r="K76" s="7"/>
      <c r="L76" s="83"/>
      <c r="M76" s="11"/>
      <c r="O76" s="5">
        <f t="shared" ref="O76:O77" si="31">J76</f>
        <v>0</v>
      </c>
    </row>
    <row r="77" spans="1:15" x14ac:dyDescent="0.35">
      <c r="A77" s="5">
        <v>1</v>
      </c>
      <c r="B77" s="97"/>
      <c r="C77" s="15" t="s">
        <v>7</v>
      </c>
      <c r="D77" s="13" t="str">
        <f t="shared" si="30"/>
        <v>BNGO</v>
      </c>
      <c r="E77" s="13">
        <f ca="1">E76</f>
        <v>1.1107</v>
      </c>
      <c r="F77" s="13">
        <f ca="1">E77</f>
        <v>1.1107</v>
      </c>
      <c r="G77" s="14">
        <f>G76</f>
        <v>200</v>
      </c>
      <c r="H77" s="13">
        <f t="shared" ca="1" si="26"/>
        <v>222.14000000000001</v>
      </c>
      <c r="I77" s="13"/>
      <c r="J77" s="10">
        <f ca="1">H77-H76</f>
        <v>-2177.86</v>
      </c>
      <c r="K77" s="7">
        <f ca="1">(H77/H76)-100%</f>
        <v>-0.9074416666666667</v>
      </c>
      <c r="L77" s="83"/>
      <c r="M77" s="11"/>
      <c r="O77" s="5">
        <f t="shared" ca="1" si="31"/>
        <v>-2177.86</v>
      </c>
    </row>
    <row r="78" spans="1:15" x14ac:dyDescent="0.35">
      <c r="A78" s="5">
        <v>1</v>
      </c>
      <c r="B78" s="97"/>
      <c r="C78" s="13" t="e" vm="2">
        <v>#VALUE!</v>
      </c>
      <c r="D78" s="13" t="e" vm="2">
        <f t="shared" si="30"/>
        <v>#VALUE!</v>
      </c>
      <c r="E78" s="13" cm="1">
        <f t="array" aca="1" ref="E78" ca="1">_FV(D78,"Price")</f>
        <v>1.1107</v>
      </c>
      <c r="F78" s="13">
        <v>11.29</v>
      </c>
      <c r="G78" s="14">
        <v>400</v>
      </c>
      <c r="H78" s="13">
        <f t="shared" si="26"/>
        <v>4516</v>
      </c>
      <c r="I78" s="13" t="s">
        <v>5</v>
      </c>
      <c r="J78" s="10"/>
      <c r="K78" s="7"/>
      <c r="L78" s="83"/>
      <c r="M78" s="11"/>
    </row>
    <row r="79" spans="1:15" x14ac:dyDescent="0.35">
      <c r="A79" s="5">
        <v>1</v>
      </c>
      <c r="B79" s="97"/>
      <c r="C79" s="15" t="s">
        <v>7</v>
      </c>
      <c r="D79" s="13" t="str">
        <f t="shared" si="30"/>
        <v>BNGO</v>
      </c>
      <c r="E79" s="13">
        <f ca="1">E78</f>
        <v>1.1107</v>
      </c>
      <c r="F79" s="13">
        <f ca="1">E79</f>
        <v>1.1107</v>
      </c>
      <c r="G79" s="14">
        <f>G78</f>
        <v>400</v>
      </c>
      <c r="H79" s="13">
        <f t="shared" ca="1" si="26"/>
        <v>444.28000000000003</v>
      </c>
      <c r="I79" s="13"/>
      <c r="J79" s="10">
        <f ca="1">H79-H78</f>
        <v>-4071.72</v>
      </c>
      <c r="K79" s="7">
        <f ca="1">(H79/H78)-100%</f>
        <v>-0.90162090345438439</v>
      </c>
      <c r="L79" s="83"/>
      <c r="M79" s="11"/>
    </row>
    <row r="80" spans="1:15" x14ac:dyDescent="0.35">
      <c r="A80" s="5">
        <v>1</v>
      </c>
      <c r="B80" s="97"/>
      <c r="C80" s="13" t="e" vm="2">
        <v>#VALUE!</v>
      </c>
      <c r="D80" s="13" t="e" vm="2">
        <f t="shared" si="30"/>
        <v>#VALUE!</v>
      </c>
      <c r="E80" s="13" cm="1">
        <f t="array" aca="1" ref="E80" ca="1">_FV(D80,"Price")</f>
        <v>1.1107</v>
      </c>
      <c r="F80" s="13">
        <v>12.79</v>
      </c>
      <c r="G80" s="14">
        <v>220</v>
      </c>
      <c r="H80" s="13">
        <f t="shared" si="26"/>
        <v>2813.7999999999997</v>
      </c>
      <c r="I80" s="13" t="s">
        <v>5</v>
      </c>
      <c r="J80" s="10"/>
      <c r="K80" s="7"/>
      <c r="L80" s="83"/>
      <c r="M80" s="11"/>
    </row>
    <row r="81" spans="1:15" x14ac:dyDescent="0.35">
      <c r="A81" s="5">
        <v>1</v>
      </c>
      <c r="B81" s="97"/>
      <c r="C81" s="15" t="s">
        <v>7</v>
      </c>
      <c r="D81" s="13" t="str">
        <f t="shared" si="30"/>
        <v>BNGO</v>
      </c>
      <c r="E81" s="13">
        <f ca="1">E80</f>
        <v>1.1107</v>
      </c>
      <c r="F81" s="13">
        <f ca="1">E81</f>
        <v>1.1107</v>
      </c>
      <c r="G81" s="14">
        <f>G80</f>
        <v>220</v>
      </c>
      <c r="H81" s="13">
        <f t="shared" ca="1" si="26"/>
        <v>244.35400000000001</v>
      </c>
      <c r="I81" s="13"/>
      <c r="J81" s="10">
        <f ca="1">H81-H80</f>
        <v>-2569.4459999999999</v>
      </c>
      <c r="K81" s="7">
        <f ca="1">(H81/H80)-100%</f>
        <v>-0.91315871774824076</v>
      </c>
      <c r="L81" s="83"/>
      <c r="M81" s="11"/>
    </row>
    <row r="82" spans="1:15" x14ac:dyDescent="0.35">
      <c r="A82" s="5">
        <v>1</v>
      </c>
      <c r="B82" s="97"/>
      <c r="C82" s="13" t="e" vm="2">
        <v>#VALUE!</v>
      </c>
      <c r="D82" s="13" t="e" vm="2">
        <f t="shared" si="30"/>
        <v>#VALUE!</v>
      </c>
      <c r="E82" s="13" cm="1">
        <f t="array" aca="1" ref="E82" ca="1">_FV(D82,"Price")</f>
        <v>1.1107</v>
      </c>
      <c r="F82" s="13">
        <v>10.54</v>
      </c>
      <c r="G82" s="14">
        <v>200</v>
      </c>
      <c r="H82" s="13">
        <f t="shared" si="26"/>
        <v>2108</v>
      </c>
      <c r="I82" s="13" t="s">
        <v>5</v>
      </c>
      <c r="J82" s="10"/>
      <c r="K82" s="7"/>
      <c r="L82" s="83"/>
      <c r="M82" s="11"/>
    </row>
    <row r="83" spans="1:15" x14ac:dyDescent="0.35">
      <c r="A83" s="5">
        <v>1</v>
      </c>
      <c r="B83" s="97"/>
      <c r="C83" s="15" t="s">
        <v>7</v>
      </c>
      <c r="D83" s="13" t="str">
        <f t="shared" si="30"/>
        <v>BNGO</v>
      </c>
      <c r="E83" s="13">
        <f ca="1">E82</f>
        <v>1.1107</v>
      </c>
      <c r="F83" s="13">
        <f ca="1">E83</f>
        <v>1.1107</v>
      </c>
      <c r="G83" s="14">
        <f>G82</f>
        <v>200</v>
      </c>
      <c r="H83" s="13">
        <f t="shared" ca="1" si="26"/>
        <v>222.14000000000001</v>
      </c>
      <c r="I83" s="13"/>
      <c r="J83" s="10">
        <f ca="1">H83-H82</f>
        <v>-1885.86</v>
      </c>
      <c r="K83" s="7">
        <f ca="1">(H83/H82)-100%</f>
        <v>-0.89462049335863381</v>
      </c>
      <c r="L83" s="83"/>
      <c r="M83" s="11"/>
    </row>
    <row r="84" spans="1:15" x14ac:dyDescent="0.35">
      <c r="A84" s="5">
        <v>1</v>
      </c>
      <c r="B84" s="97"/>
      <c r="C84" s="13" t="e" vm="2">
        <v>#VALUE!</v>
      </c>
      <c r="D84" s="13" t="e" vm="2">
        <f t="shared" si="30"/>
        <v>#VALUE!</v>
      </c>
      <c r="E84" s="13" cm="1">
        <f t="array" aca="1" ref="E84" ca="1">_FV(D84,"Price")</f>
        <v>1.1107</v>
      </c>
      <c r="F84" s="13">
        <v>8.9499999999999993</v>
      </c>
      <c r="G84" s="14">
        <v>300</v>
      </c>
      <c r="H84" s="13">
        <f t="shared" si="26"/>
        <v>2685</v>
      </c>
      <c r="I84" s="13" t="s">
        <v>5</v>
      </c>
      <c r="J84" s="10"/>
      <c r="K84" s="7"/>
      <c r="L84" s="83"/>
      <c r="M84" s="11"/>
    </row>
    <row r="85" spans="1:15" x14ac:dyDescent="0.35">
      <c r="A85" s="5">
        <v>1</v>
      </c>
      <c r="B85" s="97"/>
      <c r="C85" s="15" t="s">
        <v>7</v>
      </c>
      <c r="D85" s="13" t="str">
        <f t="shared" si="30"/>
        <v>BNGO</v>
      </c>
      <c r="E85" s="13">
        <f ca="1">E84</f>
        <v>1.1107</v>
      </c>
      <c r="F85" s="13">
        <f ca="1">E85</f>
        <v>1.1107</v>
      </c>
      <c r="G85" s="14">
        <f>G84</f>
        <v>300</v>
      </c>
      <c r="H85" s="13">
        <f t="shared" ca="1" si="26"/>
        <v>333.21</v>
      </c>
      <c r="I85" s="13"/>
      <c r="J85" s="10">
        <f ca="1">H85-H84</f>
        <v>-2351.79</v>
      </c>
      <c r="K85" s="7">
        <f ca="1">(H85/H84)-100%</f>
        <v>-0.87589944134078213</v>
      </c>
      <c r="L85" s="83"/>
      <c r="M85" s="11"/>
    </row>
    <row r="86" spans="1:15" x14ac:dyDescent="0.35">
      <c r="A86" s="5">
        <v>1</v>
      </c>
      <c r="B86" s="97"/>
      <c r="C86" s="13" t="e" vm="2">
        <v>#VALUE!</v>
      </c>
      <c r="D86" s="13" t="e" vm="2">
        <f t="shared" si="30"/>
        <v>#VALUE!</v>
      </c>
      <c r="E86" s="13" cm="1">
        <f t="array" aca="1" ref="E86" ca="1">_FV(D86,"Price")</f>
        <v>1.1107</v>
      </c>
      <c r="F86" s="13">
        <v>8.65</v>
      </c>
      <c r="G86" s="14">
        <v>200</v>
      </c>
      <c r="H86" s="13">
        <f t="shared" si="26"/>
        <v>1730</v>
      </c>
      <c r="I86" s="13" t="s">
        <v>5</v>
      </c>
      <c r="J86" s="10"/>
      <c r="K86" s="7"/>
      <c r="L86" s="83"/>
      <c r="M86" s="11"/>
    </row>
    <row r="87" spans="1:15" x14ac:dyDescent="0.35">
      <c r="A87" s="5">
        <v>1</v>
      </c>
      <c r="B87" s="97"/>
      <c r="C87" s="15" t="s">
        <v>7</v>
      </c>
      <c r="D87" s="13" t="str">
        <f t="shared" si="30"/>
        <v>BNGO</v>
      </c>
      <c r="E87" s="13">
        <f ca="1">E86</f>
        <v>1.1107</v>
      </c>
      <c r="F87" s="13">
        <f ca="1">E87</f>
        <v>1.1107</v>
      </c>
      <c r="G87" s="14">
        <f>G86</f>
        <v>200</v>
      </c>
      <c r="H87" s="13">
        <f t="shared" ca="1" si="26"/>
        <v>222.14000000000001</v>
      </c>
      <c r="I87" s="13"/>
      <c r="J87" s="10">
        <f ca="1">H87-H86</f>
        <v>-1507.86</v>
      </c>
      <c r="K87" s="7">
        <f ca="1">(H87/H86)-100%</f>
        <v>-0.87159537572254331</v>
      </c>
      <c r="L87" s="83"/>
      <c r="M87" s="11"/>
    </row>
    <row r="88" spans="1:15" x14ac:dyDescent="0.35">
      <c r="A88" s="5">
        <v>1</v>
      </c>
      <c r="B88" s="97"/>
      <c r="C88" s="13" t="e" vm="2">
        <v>#VALUE!</v>
      </c>
      <c r="D88" s="13" t="e" vm="2">
        <f t="shared" si="30"/>
        <v>#VALUE!</v>
      </c>
      <c r="E88" s="13" cm="1">
        <f t="array" aca="1" ref="E88" ca="1">_FV(D88,"Price")</f>
        <v>1.1107</v>
      </c>
      <c r="F88" s="13">
        <v>6.86</v>
      </c>
      <c r="G88" s="14">
        <v>200</v>
      </c>
      <c r="H88" s="13">
        <f t="shared" si="26"/>
        <v>1372</v>
      </c>
      <c r="I88" s="13" t="s">
        <v>5</v>
      </c>
      <c r="J88" s="10"/>
      <c r="K88" s="7"/>
      <c r="L88" s="83"/>
      <c r="M88" s="11"/>
    </row>
    <row r="89" spans="1:15" x14ac:dyDescent="0.35">
      <c r="A89" s="5">
        <v>1</v>
      </c>
      <c r="B89" s="97"/>
      <c r="C89" s="15" t="s">
        <v>7</v>
      </c>
      <c r="D89" s="13" t="str">
        <f t="shared" si="30"/>
        <v>BNGO</v>
      </c>
      <c r="E89" s="13">
        <f ca="1">E88</f>
        <v>1.1107</v>
      </c>
      <c r="F89" s="13">
        <f ca="1">E89</f>
        <v>1.1107</v>
      </c>
      <c r="G89" s="14">
        <f>G88</f>
        <v>200</v>
      </c>
      <c r="H89" s="13">
        <f t="shared" ca="1" si="26"/>
        <v>222.14000000000001</v>
      </c>
      <c r="I89" s="13"/>
      <c r="J89" s="10">
        <f ca="1">H89-H88</f>
        <v>-1149.8599999999999</v>
      </c>
      <c r="K89" s="7">
        <f ca="1">(H89/H88)-100%</f>
        <v>-0.83809037900874639</v>
      </c>
      <c r="L89" s="83"/>
      <c r="M89" s="11"/>
    </row>
    <row r="90" spans="1:15" x14ac:dyDescent="0.35">
      <c r="B90" s="166" t="s">
        <v>47</v>
      </c>
      <c r="C90" s="63" t="e" vm="13">
        <v>#VALUE!</v>
      </c>
      <c r="D90" s="63" t="e" vm="13">
        <f t="shared" si="30"/>
        <v>#VALUE!</v>
      </c>
      <c r="E90" s="63" cm="1">
        <f t="array" aca="1" ref="E90" ca="1">_FV(D90,"Price")</f>
        <v>2.14</v>
      </c>
      <c r="F90" s="63">
        <v>12.3</v>
      </c>
      <c r="G90" s="64">
        <v>250</v>
      </c>
      <c r="H90" s="63">
        <f t="shared" si="26"/>
        <v>3075</v>
      </c>
      <c r="I90" s="63" t="s">
        <v>5</v>
      </c>
      <c r="J90" s="45"/>
      <c r="K90" s="46"/>
      <c r="L90" s="83"/>
      <c r="M90" s="123"/>
      <c r="N90" s="5" t="s">
        <v>49</v>
      </c>
    </row>
    <row r="91" spans="1:15" x14ac:dyDescent="0.35">
      <c r="B91" s="167"/>
      <c r="C91" s="79" t="s">
        <v>50</v>
      </c>
      <c r="D91" s="63" t="str">
        <f t="shared" si="30"/>
        <v>GEVO</v>
      </c>
      <c r="E91" s="63">
        <f ca="1">E90</f>
        <v>2.14</v>
      </c>
      <c r="F91" s="63">
        <v>1.79</v>
      </c>
      <c r="G91" s="64">
        <f>G90</f>
        <v>250</v>
      </c>
      <c r="H91" s="63">
        <f t="shared" si="26"/>
        <v>447.5</v>
      </c>
      <c r="I91" s="63"/>
      <c r="J91" s="10">
        <f>H91-H90</f>
        <v>-2627.5</v>
      </c>
      <c r="K91" s="7">
        <f>(H91/H90)-100%</f>
        <v>-0.85447154471544717</v>
      </c>
      <c r="L91" s="83"/>
      <c r="M91" s="11"/>
    </row>
    <row r="92" spans="1:15" ht="14.65" customHeight="1" x14ac:dyDescent="0.35">
      <c r="B92" s="166" t="s">
        <v>47</v>
      </c>
      <c r="C92" s="52" t="e" vm="14">
        <v>#VALUE!</v>
      </c>
      <c r="D92" s="52" t="e" vm="14">
        <f>C92</f>
        <v>#VALUE!</v>
      </c>
      <c r="E92" s="52" cm="1">
        <f t="array" aca="1" ref="E92" ca="1">_FV(D92,"Price")</f>
        <v>1.9350000000000001</v>
      </c>
      <c r="F92" s="77">
        <v>18.93</v>
      </c>
      <c r="G92" s="54">
        <v>250</v>
      </c>
      <c r="H92" s="52">
        <f>F92*G92</f>
        <v>4732.5</v>
      </c>
      <c r="I92" s="52" t="s">
        <v>5</v>
      </c>
      <c r="J92" s="10"/>
      <c r="K92" s="7"/>
      <c r="L92" s="83"/>
      <c r="M92" s="11"/>
      <c r="N92" s="5" t="s">
        <v>49</v>
      </c>
    </row>
    <row r="93" spans="1:15" x14ac:dyDescent="0.35">
      <c r="B93" s="167"/>
      <c r="C93" s="78" t="s">
        <v>51</v>
      </c>
      <c r="D93" s="52" t="str">
        <f>C93</f>
        <v>SOL</v>
      </c>
      <c r="E93" s="52">
        <f ca="1">E92</f>
        <v>1.9350000000000001</v>
      </c>
      <c r="F93" s="52">
        <v>1.94</v>
      </c>
      <c r="G93" s="54">
        <f>G92</f>
        <v>250</v>
      </c>
      <c r="H93" s="52">
        <f>F93*G93</f>
        <v>485</v>
      </c>
      <c r="I93" s="52"/>
      <c r="J93" s="10">
        <f>H93-H92</f>
        <v>-4247.5</v>
      </c>
      <c r="K93" s="7">
        <f>(H93/H92)-100%</f>
        <v>-0.89751716851558372</v>
      </c>
      <c r="L93" s="83"/>
      <c r="M93" s="11"/>
    </row>
    <row r="94" spans="1:15" x14ac:dyDescent="0.35">
      <c r="B94" s="166" t="s">
        <v>47</v>
      </c>
      <c r="C94" s="52" t="e" vm="14">
        <v>#VALUE!</v>
      </c>
      <c r="D94" s="52" t="e" vm="14">
        <f>C94</f>
        <v>#VALUE!</v>
      </c>
      <c r="E94" s="52" cm="1">
        <f t="array" aca="1" ref="E94" ca="1">_FV(D94,"Price")</f>
        <v>1.9350000000000001</v>
      </c>
      <c r="F94" s="77">
        <v>13.57</v>
      </c>
      <c r="G94" s="54">
        <v>100</v>
      </c>
      <c r="H94" s="52">
        <f>F94*G94</f>
        <v>1357</v>
      </c>
      <c r="I94" s="52" t="s">
        <v>5</v>
      </c>
      <c r="J94" s="10"/>
      <c r="K94" s="7"/>
      <c r="L94" s="83"/>
      <c r="M94" s="11"/>
      <c r="N94" s="5" t="s">
        <v>49</v>
      </c>
    </row>
    <row r="95" spans="1:15" x14ac:dyDescent="0.35">
      <c r="B95" s="167"/>
      <c r="C95" s="78" t="s">
        <v>51</v>
      </c>
      <c r="D95" s="52" t="str">
        <f>C95</f>
        <v>SOL</v>
      </c>
      <c r="E95" s="52">
        <f ca="1">E94</f>
        <v>1.9350000000000001</v>
      </c>
      <c r="F95" s="52">
        <v>1.94</v>
      </c>
      <c r="G95" s="54">
        <f>G94</f>
        <v>100</v>
      </c>
      <c r="H95" s="52">
        <f>F95*G95</f>
        <v>194</v>
      </c>
      <c r="I95" s="52"/>
      <c r="J95" s="10">
        <f>H95-H94</f>
        <v>-1163</v>
      </c>
      <c r="K95" s="7">
        <f>(H95/H94)-100%</f>
        <v>-0.85703758290346355</v>
      </c>
      <c r="L95" s="83"/>
      <c r="M95" s="11"/>
    </row>
    <row r="96" spans="1:15" ht="28.8" x14ac:dyDescent="0.35">
      <c r="B96" s="61" t="s">
        <v>4</v>
      </c>
      <c r="C96" s="63" t="e" vm="14">
        <v>#VALUE!</v>
      </c>
      <c r="D96" s="63" t="e" vm="14">
        <f t="shared" si="30"/>
        <v>#VALUE!</v>
      </c>
      <c r="E96" s="63" cm="1">
        <f t="array" aca="1" ref="E96" ca="1">_FV(D96,"Price")</f>
        <v>1.9350000000000001</v>
      </c>
      <c r="F96" s="63">
        <v>27.29</v>
      </c>
      <c r="G96" s="64">
        <v>200</v>
      </c>
      <c r="H96" s="63">
        <f t="shared" ref="H96:H101" si="32">F96*G96</f>
        <v>5458</v>
      </c>
      <c r="I96" s="63" t="s">
        <v>5</v>
      </c>
      <c r="J96" s="10"/>
      <c r="K96" s="7"/>
      <c r="L96" s="83"/>
      <c r="M96" s="11"/>
      <c r="O96" s="5">
        <f t="shared" ref="O96:O97" si="33">J96</f>
        <v>0</v>
      </c>
    </row>
    <row r="97" spans="1:15" x14ac:dyDescent="0.35">
      <c r="B97" s="97"/>
      <c r="C97" s="79" t="s">
        <v>51</v>
      </c>
      <c r="D97" s="63" t="str">
        <f t="shared" si="30"/>
        <v>SOL</v>
      </c>
      <c r="E97" s="63">
        <f ca="1">E96</f>
        <v>1.9350000000000001</v>
      </c>
      <c r="F97" s="63">
        <v>1.29</v>
      </c>
      <c r="G97" s="64">
        <f>G96</f>
        <v>200</v>
      </c>
      <c r="H97" s="63">
        <f t="shared" si="32"/>
        <v>258</v>
      </c>
      <c r="I97" s="63"/>
      <c r="J97" s="10">
        <f>H97-H96</f>
        <v>-5200</v>
      </c>
      <c r="K97" s="7">
        <f>(H97/H96)-100%</f>
        <v>-0.95272993770611947</v>
      </c>
      <c r="L97" s="83"/>
      <c r="M97" s="11"/>
      <c r="N97" s="5" t="s">
        <v>48</v>
      </c>
      <c r="O97" s="5">
        <f t="shared" si="33"/>
        <v>-5200</v>
      </c>
    </row>
    <row r="98" spans="1:15" ht="28.8" x14ac:dyDescent="0.35">
      <c r="B98" s="61" t="s">
        <v>4</v>
      </c>
      <c r="C98" s="63" t="e" vm="14">
        <v>#VALUE!</v>
      </c>
      <c r="D98" s="63" t="e" vm="14">
        <f t="shared" si="30"/>
        <v>#VALUE!</v>
      </c>
      <c r="E98" s="63" cm="1">
        <f t="array" aca="1" ref="E98" ca="1">_FV(D98,"Price")</f>
        <v>1.9350000000000001</v>
      </c>
      <c r="F98" s="63">
        <v>15.9</v>
      </c>
      <c r="G98" s="64">
        <v>100</v>
      </c>
      <c r="H98" s="63">
        <f t="shared" si="32"/>
        <v>1590</v>
      </c>
      <c r="I98" s="63" t="s">
        <v>5</v>
      </c>
      <c r="J98" s="10"/>
      <c r="K98" s="7"/>
      <c r="L98" s="83"/>
      <c r="M98" s="11"/>
    </row>
    <row r="99" spans="1:15" x14ac:dyDescent="0.35">
      <c r="B99" s="97"/>
      <c r="C99" s="79" t="s">
        <v>51</v>
      </c>
      <c r="D99" s="63" t="str">
        <f t="shared" si="30"/>
        <v>SOL</v>
      </c>
      <c r="E99" s="63">
        <f ca="1">E98</f>
        <v>1.9350000000000001</v>
      </c>
      <c r="F99" s="63">
        <v>1.29</v>
      </c>
      <c r="G99" s="64">
        <f>G98</f>
        <v>100</v>
      </c>
      <c r="H99" s="63">
        <f t="shared" si="32"/>
        <v>129</v>
      </c>
      <c r="I99" s="63"/>
      <c r="J99" s="10">
        <f>H99-H98</f>
        <v>-1461</v>
      </c>
      <c r="K99" s="7">
        <f>(H99/H98)-100%</f>
        <v>-0.9188679245283019</v>
      </c>
      <c r="L99" s="83"/>
      <c r="M99" s="11"/>
      <c r="N99" s="5" t="s">
        <v>48</v>
      </c>
    </row>
    <row r="100" spans="1:15" x14ac:dyDescent="0.35">
      <c r="C100" s="63" t="e" vm="14">
        <v>#VALUE!</v>
      </c>
      <c r="D100" s="63" t="e" vm="14">
        <f t="shared" si="30"/>
        <v>#VALUE!</v>
      </c>
      <c r="E100" s="63" cm="1">
        <f t="array" aca="1" ref="E100" ca="1">_FV(D100,"Price")</f>
        <v>1.9350000000000001</v>
      </c>
      <c r="F100" s="63">
        <v>9.4</v>
      </c>
      <c r="G100" s="64">
        <v>100</v>
      </c>
      <c r="H100" s="63">
        <f t="shared" si="32"/>
        <v>940</v>
      </c>
      <c r="I100" s="63" t="s">
        <v>5</v>
      </c>
      <c r="J100" s="10"/>
      <c r="K100" s="7"/>
      <c r="L100" s="83"/>
      <c r="M100" s="11"/>
    </row>
    <row r="101" spans="1:15" ht="28.8" x14ac:dyDescent="0.35">
      <c r="B101" s="61" t="s">
        <v>52</v>
      </c>
      <c r="C101" s="79" t="s">
        <v>51</v>
      </c>
      <c r="D101" s="63" t="str">
        <f t="shared" si="30"/>
        <v>SOL</v>
      </c>
      <c r="E101" s="63">
        <f ca="1">E100</f>
        <v>1.9350000000000001</v>
      </c>
      <c r="F101" s="63">
        <v>1.29</v>
      </c>
      <c r="G101" s="64">
        <f>G100</f>
        <v>100</v>
      </c>
      <c r="H101" s="63">
        <f t="shared" si="32"/>
        <v>129</v>
      </c>
      <c r="I101" s="63"/>
      <c r="J101" s="10">
        <f>H101-H100</f>
        <v>-811</v>
      </c>
      <c r="K101" s="7">
        <f>(H101/H100)-100%</f>
        <v>-0.86276595744680851</v>
      </c>
      <c r="L101" s="83"/>
      <c r="M101" s="11"/>
      <c r="N101" s="5" t="s">
        <v>48</v>
      </c>
    </row>
    <row r="102" spans="1:15" x14ac:dyDescent="0.35">
      <c r="B102" s="143" t="s">
        <v>32</v>
      </c>
      <c r="C102" s="63" t="e" vm="15">
        <v>#VALUE!</v>
      </c>
      <c r="D102" s="63" t="e" vm="15">
        <f>C102</f>
        <v>#VALUE!</v>
      </c>
      <c r="E102" s="63" cm="1">
        <f t="array" aca="1" ref="E102" ca="1">_FV(D102,"Price")</f>
        <v>0.47399999999999998</v>
      </c>
      <c r="F102" s="63">
        <v>2.0299999999999998</v>
      </c>
      <c r="G102" s="64">
        <v>1000</v>
      </c>
      <c r="H102" s="63">
        <f>F102*G102</f>
        <v>2029.9999999999998</v>
      </c>
      <c r="I102" s="63" t="s">
        <v>5</v>
      </c>
      <c r="J102" s="10"/>
      <c r="K102" s="7"/>
      <c r="L102" s="83"/>
      <c r="M102" s="11"/>
      <c r="O102" s="5">
        <f t="shared" ref="O102:O105" si="34">J102</f>
        <v>0</v>
      </c>
    </row>
    <row r="103" spans="1:15" ht="28.8" x14ac:dyDescent="0.35">
      <c r="B103" s="143"/>
      <c r="C103" s="79" t="s">
        <v>53</v>
      </c>
      <c r="D103" s="63" t="str">
        <f>C103</f>
        <v>AVGR</v>
      </c>
      <c r="E103" s="63">
        <f ca="1">E102</f>
        <v>0.47399999999999998</v>
      </c>
      <c r="F103" s="63">
        <f ca="1">E103</f>
        <v>0.47399999999999998</v>
      </c>
      <c r="G103" s="64">
        <v>50</v>
      </c>
      <c r="H103" s="63">
        <f ca="1">F103*G103</f>
        <v>23.7</v>
      </c>
      <c r="I103" s="63"/>
      <c r="J103" s="10">
        <f ca="1">H103-H102</f>
        <v>-2006.2999999999997</v>
      </c>
      <c r="K103" s="7">
        <f ca="1">(H103/H102)-100%</f>
        <v>-0.98832512315270937</v>
      </c>
      <c r="L103" s="83"/>
      <c r="M103" s="11"/>
      <c r="N103" s="6" t="s">
        <v>54</v>
      </c>
      <c r="O103" s="5" t="s">
        <v>55</v>
      </c>
    </row>
    <row r="104" spans="1:15" x14ac:dyDescent="0.35">
      <c r="A104" s="5">
        <v>1</v>
      </c>
      <c r="B104" s="143" t="s">
        <v>32</v>
      </c>
      <c r="C104" s="13" t="e" vm="16">
        <v>#VALUE!</v>
      </c>
      <c r="D104" s="13" t="e" vm="16">
        <f t="shared" ref="D104:D129" si="35">C104</f>
        <v>#VALUE!</v>
      </c>
      <c r="E104" s="13" cm="1">
        <f t="array" aca="1" ref="E104" ca="1">_FV(D104,"Price")</f>
        <v>0.34789999999999999</v>
      </c>
      <c r="F104" s="73">
        <v>5.9</v>
      </c>
      <c r="G104" s="14">
        <v>400</v>
      </c>
      <c r="H104" s="13">
        <f t="shared" ref="H104:H129" si="36">F104*G104</f>
        <v>2360</v>
      </c>
      <c r="I104" s="13" t="s">
        <v>5</v>
      </c>
      <c r="J104" s="10"/>
      <c r="K104" s="7"/>
      <c r="L104" s="83"/>
      <c r="M104" s="11"/>
      <c r="O104" s="5">
        <f t="shared" si="34"/>
        <v>0</v>
      </c>
    </row>
    <row r="105" spans="1:15" x14ac:dyDescent="0.35">
      <c r="A105" s="5">
        <v>1</v>
      </c>
      <c r="B105" s="143"/>
      <c r="C105" s="15" t="s">
        <v>56</v>
      </c>
      <c r="D105" s="13" t="str">
        <f t="shared" si="35"/>
        <v>ASXC</v>
      </c>
      <c r="E105" s="13">
        <f ca="1">E104</f>
        <v>0.34789999999999999</v>
      </c>
      <c r="F105" s="13">
        <f ca="1">E105</f>
        <v>0.34789999999999999</v>
      </c>
      <c r="G105" s="14">
        <f>G104</f>
        <v>400</v>
      </c>
      <c r="H105" s="13">
        <f t="shared" ca="1" si="36"/>
        <v>139.16</v>
      </c>
      <c r="I105" s="13"/>
      <c r="J105" s="10">
        <f ca="1">H105-H104</f>
        <v>-2220.84</v>
      </c>
      <c r="K105" s="7">
        <f ca="1">(H105/H104)-100%</f>
        <v>-0.94103389830508477</v>
      </c>
      <c r="L105" s="83"/>
      <c r="M105" s="11"/>
      <c r="O105" s="5">
        <f t="shared" ca="1" si="34"/>
        <v>-2220.84</v>
      </c>
    </row>
    <row r="106" spans="1:15" x14ac:dyDescent="0.35">
      <c r="A106" s="5">
        <v>1</v>
      </c>
      <c r="B106" s="97"/>
      <c r="C106" s="13" t="e" vm="17">
        <v>#VALUE!</v>
      </c>
      <c r="D106" s="13" t="e" vm="17">
        <f t="shared" si="35"/>
        <v>#VALUE!</v>
      </c>
      <c r="E106" s="13" cm="1">
        <f t="array" aca="1" ref="E106" ca="1">_FV(D106,"Price")</f>
        <v>3.0000000000000001E-3</v>
      </c>
      <c r="F106" s="73">
        <f>3.37*50</f>
        <v>168.5</v>
      </c>
      <c r="G106" s="14">
        <f>1000/50</f>
        <v>20</v>
      </c>
      <c r="H106" s="13">
        <f t="shared" si="36"/>
        <v>3370</v>
      </c>
      <c r="I106" s="13" t="s">
        <v>5</v>
      </c>
      <c r="J106" s="10"/>
      <c r="K106" s="7"/>
      <c r="L106" s="83"/>
      <c r="M106" s="11"/>
      <c r="O106" s="5">
        <f t="shared" ref="O106:O107" si="37">J106</f>
        <v>0</v>
      </c>
    </row>
    <row r="107" spans="1:15" x14ac:dyDescent="0.35">
      <c r="A107" s="5">
        <v>1</v>
      </c>
      <c r="B107" s="97"/>
      <c r="C107" s="15" t="s">
        <v>57</v>
      </c>
      <c r="D107" s="13" t="str">
        <f t="shared" si="35"/>
        <v>TTOO</v>
      </c>
      <c r="E107" s="13">
        <f ca="1">E106</f>
        <v>3.0000000000000001E-3</v>
      </c>
      <c r="F107" s="13">
        <f ca="1">E107</f>
        <v>3.0000000000000001E-3</v>
      </c>
      <c r="G107" s="14">
        <f>G106</f>
        <v>20</v>
      </c>
      <c r="H107" s="13">
        <f t="shared" ca="1" si="36"/>
        <v>0.06</v>
      </c>
      <c r="I107" s="13"/>
      <c r="J107" s="10">
        <f ca="1">H107-H106</f>
        <v>-3369.94</v>
      </c>
      <c r="K107" s="7">
        <f ca="1">(H107/H106)-100%</f>
        <v>-0.99998219584569736</v>
      </c>
      <c r="L107" s="83"/>
      <c r="M107" s="11"/>
      <c r="O107" s="5">
        <f t="shared" ca="1" si="37"/>
        <v>-3369.94</v>
      </c>
    </row>
    <row r="108" spans="1:15" x14ac:dyDescent="0.35">
      <c r="A108" s="5">
        <v>1</v>
      </c>
      <c r="B108" s="97"/>
      <c r="C108" s="16" t="e" vm="17">
        <v>#VALUE!</v>
      </c>
      <c r="D108" s="16" t="e" vm="17">
        <f t="shared" si="35"/>
        <v>#VALUE!</v>
      </c>
      <c r="E108" s="16" cm="1">
        <f t="array" aca="1" ref="E108" ca="1">_FV(D108,"Price")</f>
        <v>3.0000000000000001E-3</v>
      </c>
      <c r="F108" s="16">
        <f>2.4*50</f>
        <v>120</v>
      </c>
      <c r="G108" s="17">
        <f>500/50</f>
        <v>10</v>
      </c>
      <c r="H108" s="16">
        <f t="shared" si="36"/>
        <v>1200</v>
      </c>
      <c r="I108" s="16" t="s">
        <v>5</v>
      </c>
      <c r="J108" s="10"/>
      <c r="K108" s="7"/>
      <c r="L108" s="83"/>
      <c r="M108" s="11"/>
    </row>
    <row r="109" spans="1:15" x14ac:dyDescent="0.35">
      <c r="A109" s="5">
        <v>1</v>
      </c>
      <c r="B109" s="97"/>
      <c r="C109" s="23" t="s">
        <v>57</v>
      </c>
      <c r="D109" s="16" t="str">
        <f t="shared" si="35"/>
        <v>TTOO</v>
      </c>
      <c r="E109" s="16">
        <f ca="1">E108</f>
        <v>3.0000000000000001E-3</v>
      </c>
      <c r="F109" s="16">
        <f ca="1">E109</f>
        <v>3.0000000000000001E-3</v>
      </c>
      <c r="G109" s="17">
        <f>G108</f>
        <v>10</v>
      </c>
      <c r="H109" s="16">
        <f t="shared" ca="1" si="36"/>
        <v>0.03</v>
      </c>
      <c r="I109" s="16"/>
      <c r="J109" s="10">
        <f ca="1">H109-H108</f>
        <v>-1199.97</v>
      </c>
      <c r="K109" s="7">
        <f ca="1">(H109/H108)-100%</f>
        <v>-0.99997499999999995</v>
      </c>
      <c r="L109" s="83"/>
      <c r="M109" s="11"/>
    </row>
    <row r="110" spans="1:15" x14ac:dyDescent="0.35">
      <c r="A110" s="5">
        <v>1</v>
      </c>
      <c r="B110" s="97"/>
      <c r="C110" s="13" t="e" vm="17">
        <v>#VALUE!</v>
      </c>
      <c r="D110" s="13" t="e" vm="17">
        <f t="shared" si="35"/>
        <v>#VALUE!</v>
      </c>
      <c r="E110" s="13" cm="1">
        <f t="array" aca="1" ref="E110" ca="1">_FV(D110,"Price")</f>
        <v>3.0000000000000001E-3</v>
      </c>
      <c r="F110" s="73">
        <f>2.05*50</f>
        <v>102.49999999999999</v>
      </c>
      <c r="G110" s="14">
        <f>750/50</f>
        <v>15</v>
      </c>
      <c r="H110" s="13">
        <f t="shared" si="36"/>
        <v>1537.4999999999998</v>
      </c>
      <c r="I110" s="13" t="s">
        <v>5</v>
      </c>
      <c r="J110" s="10"/>
      <c r="K110" s="7"/>
      <c r="L110" s="83"/>
      <c r="M110" s="11"/>
    </row>
    <row r="111" spans="1:15" x14ac:dyDescent="0.35">
      <c r="A111" s="5">
        <v>1</v>
      </c>
      <c r="B111" s="97"/>
      <c r="C111" s="15" t="s">
        <v>57</v>
      </c>
      <c r="D111" s="13" t="str">
        <f t="shared" si="35"/>
        <v>TTOO</v>
      </c>
      <c r="E111" s="13">
        <f ca="1">E110</f>
        <v>3.0000000000000001E-3</v>
      </c>
      <c r="F111" s="13">
        <f ca="1">E111</f>
        <v>3.0000000000000001E-3</v>
      </c>
      <c r="G111" s="14">
        <f>G110</f>
        <v>15</v>
      </c>
      <c r="H111" s="13">
        <f t="shared" ca="1" si="36"/>
        <v>4.4999999999999998E-2</v>
      </c>
      <c r="I111" s="13"/>
      <c r="J111" s="10">
        <f ca="1">H111-H110</f>
        <v>-1537.4549999999997</v>
      </c>
      <c r="K111" s="7">
        <f ca="1">(H111/H110)-100%</f>
        <v>-0.9999707317073171</v>
      </c>
      <c r="L111" s="83"/>
      <c r="M111" s="11"/>
    </row>
    <row r="112" spans="1:15" x14ac:dyDescent="0.35">
      <c r="A112" s="5">
        <v>1</v>
      </c>
      <c r="B112" s="97" t="s">
        <v>58</v>
      </c>
      <c r="C112" s="20" t="e" vm="17">
        <v>#VALUE!</v>
      </c>
      <c r="D112" s="20" t="e" vm="17">
        <f t="shared" si="35"/>
        <v>#VALUE!</v>
      </c>
      <c r="E112" s="20" cm="1">
        <f t="array" aca="1" ref="E112" ca="1">_FV(D112,"Price")</f>
        <v>3.0000000000000001E-3</v>
      </c>
      <c r="F112" s="20">
        <f>0.2*50</f>
        <v>10</v>
      </c>
      <c r="G112" s="21">
        <f>1000/50</f>
        <v>20</v>
      </c>
      <c r="H112" s="20">
        <f t="shared" si="36"/>
        <v>200</v>
      </c>
      <c r="I112" s="20" t="s">
        <v>5</v>
      </c>
      <c r="J112" s="10"/>
      <c r="K112" s="7"/>
      <c r="L112" s="83"/>
      <c r="M112" s="11"/>
    </row>
    <row r="113" spans="1:15" x14ac:dyDescent="0.35">
      <c r="A113" s="5">
        <v>1</v>
      </c>
      <c r="B113" s="97"/>
      <c r="C113" s="20" t="s">
        <v>57</v>
      </c>
      <c r="D113" s="20" t="str">
        <f t="shared" si="35"/>
        <v>TTOO</v>
      </c>
      <c r="E113" s="20">
        <f ca="1">E112</f>
        <v>3.0000000000000001E-3</v>
      </c>
      <c r="F113" s="20">
        <f ca="1">E113</f>
        <v>3.0000000000000001E-3</v>
      </c>
      <c r="G113" s="21">
        <f>G112</f>
        <v>20</v>
      </c>
      <c r="H113" s="20">
        <f t="shared" ca="1" si="36"/>
        <v>0.06</v>
      </c>
      <c r="I113" s="20"/>
      <c r="J113" s="10">
        <f ca="1">H113-H112</f>
        <v>-199.94</v>
      </c>
      <c r="K113" s="7">
        <f ca="1">(H113/H112)-100%</f>
        <v>-0.99970000000000003</v>
      </c>
      <c r="L113" s="83"/>
      <c r="M113" s="11"/>
    </row>
    <row r="114" spans="1:15" x14ac:dyDescent="0.35">
      <c r="A114" s="5">
        <v>1</v>
      </c>
      <c r="B114" s="97"/>
      <c r="C114" s="13" t="e" vm="17">
        <v>#VALUE!</v>
      </c>
      <c r="D114" s="13" t="e" vm="17">
        <f t="shared" si="35"/>
        <v>#VALUE!</v>
      </c>
      <c r="E114" s="13" cm="1">
        <f t="array" aca="1" ref="E114" ca="1">_FV(D114,"Price")</f>
        <v>3.0000000000000001E-3</v>
      </c>
      <c r="F114" s="73">
        <f>1.06*50</f>
        <v>53</v>
      </c>
      <c r="G114" s="14">
        <f>500/50</f>
        <v>10</v>
      </c>
      <c r="H114" s="13">
        <f t="shared" si="36"/>
        <v>530</v>
      </c>
      <c r="I114" s="13" t="s">
        <v>5</v>
      </c>
      <c r="J114" s="10"/>
      <c r="K114" s="7"/>
      <c r="L114" s="83"/>
      <c r="M114" s="11"/>
    </row>
    <row r="115" spans="1:15" x14ac:dyDescent="0.35">
      <c r="A115" s="5">
        <v>1</v>
      </c>
      <c r="B115" s="97"/>
      <c r="C115" s="15" t="s">
        <v>57</v>
      </c>
      <c r="D115" s="13" t="str">
        <f t="shared" si="35"/>
        <v>TTOO</v>
      </c>
      <c r="E115" s="13">
        <f ca="1">E114</f>
        <v>3.0000000000000001E-3</v>
      </c>
      <c r="F115" s="13">
        <f ca="1">E115</f>
        <v>3.0000000000000001E-3</v>
      </c>
      <c r="G115" s="14">
        <f>G114</f>
        <v>10</v>
      </c>
      <c r="H115" s="13">
        <f t="shared" ca="1" si="36"/>
        <v>0.03</v>
      </c>
      <c r="I115" s="13"/>
      <c r="J115" s="10">
        <f ca="1">H115-H114</f>
        <v>-529.97</v>
      </c>
      <c r="K115" s="7">
        <f ca="1">(H115/H114)-100%</f>
        <v>-0.99994339622641515</v>
      </c>
      <c r="L115" s="83"/>
      <c r="M115" s="11"/>
    </row>
    <row r="116" spans="1:15" x14ac:dyDescent="0.35">
      <c r="B116" s="175" t="s">
        <v>32</v>
      </c>
      <c r="C116" s="52" t="e" vm="18">
        <v>#VALUE!</v>
      </c>
      <c r="D116" s="52" t="e" vm="18">
        <f t="shared" si="35"/>
        <v>#VALUE!</v>
      </c>
      <c r="E116" s="52" cm="1">
        <f t="array" aca="1" ref="E116" ca="1">_FV(D116,"Price")</f>
        <v>0.1227</v>
      </c>
      <c r="F116" s="77">
        <v>2.39</v>
      </c>
      <c r="G116" s="54">
        <v>1100</v>
      </c>
      <c r="H116" s="52">
        <f t="shared" si="36"/>
        <v>2629</v>
      </c>
      <c r="I116" s="52" t="s">
        <v>5</v>
      </c>
      <c r="J116" s="10"/>
      <c r="K116" s="7"/>
      <c r="L116" s="83"/>
      <c r="M116" s="11"/>
    </row>
    <row r="117" spans="1:15" x14ac:dyDescent="0.35">
      <c r="B117" s="176"/>
      <c r="C117" s="78" t="s">
        <v>59</v>
      </c>
      <c r="D117" s="52" t="str">
        <f t="shared" si="35"/>
        <v>ZOM</v>
      </c>
      <c r="E117" s="52">
        <f ca="1">E116</f>
        <v>0.1227</v>
      </c>
      <c r="F117" s="52">
        <v>0.12</v>
      </c>
      <c r="G117" s="54">
        <f>G116</f>
        <v>1100</v>
      </c>
      <c r="H117" s="52">
        <f t="shared" si="36"/>
        <v>132</v>
      </c>
      <c r="I117" s="52"/>
      <c r="J117" s="10">
        <f>H117-H116</f>
        <v>-2497</v>
      </c>
      <c r="K117" s="7">
        <f>(H117/H116)-100%</f>
        <v>-0.94979079497907948</v>
      </c>
      <c r="L117" s="83"/>
      <c r="M117" s="11"/>
      <c r="N117" s="5" t="s">
        <v>14</v>
      </c>
    </row>
    <row r="118" spans="1:15" ht="29.3" customHeight="1" x14ac:dyDescent="0.35">
      <c r="B118" s="164" t="s">
        <v>60</v>
      </c>
      <c r="C118" s="52" t="e" vm="18">
        <v>#VALUE!</v>
      </c>
      <c r="D118" s="52" t="e" vm="18">
        <f t="shared" si="35"/>
        <v>#VALUE!</v>
      </c>
      <c r="E118" s="52" cm="1">
        <f t="array" aca="1" ref="E118" ca="1">_FV(D118,"Price")</f>
        <v>0.1227</v>
      </c>
      <c r="F118" s="77">
        <v>2.5</v>
      </c>
      <c r="G118" s="54">
        <v>650</v>
      </c>
      <c r="H118" s="52">
        <f t="shared" si="36"/>
        <v>1625</v>
      </c>
      <c r="I118" s="52" t="s">
        <v>5</v>
      </c>
      <c r="J118" s="10"/>
      <c r="K118" s="7"/>
      <c r="L118" s="83"/>
      <c r="M118" s="11"/>
      <c r="O118" s="5">
        <f t="shared" ref="O118:O119" si="38">J118</f>
        <v>0</v>
      </c>
    </row>
    <row r="119" spans="1:15" x14ac:dyDescent="0.35">
      <c r="B119" s="165"/>
      <c r="C119" s="78" t="s">
        <v>59</v>
      </c>
      <c r="D119" s="52" t="str">
        <f t="shared" si="35"/>
        <v>ZOM</v>
      </c>
      <c r="E119" s="52">
        <f ca="1">E118</f>
        <v>0.1227</v>
      </c>
      <c r="F119" s="52">
        <v>0.05</v>
      </c>
      <c r="G119" s="54">
        <f>G118</f>
        <v>650</v>
      </c>
      <c r="H119" s="52">
        <f t="shared" si="36"/>
        <v>32.5</v>
      </c>
      <c r="I119" s="52"/>
      <c r="J119" s="10">
        <f>H119-H118</f>
        <v>-1592.5</v>
      </c>
      <c r="K119" s="7">
        <f>(H119/H118)-100%</f>
        <v>-0.98</v>
      </c>
      <c r="L119" s="83"/>
      <c r="M119" s="11"/>
      <c r="N119" s="5" t="s">
        <v>48</v>
      </c>
      <c r="O119" s="5">
        <f t="shared" si="38"/>
        <v>-1592.5</v>
      </c>
    </row>
    <row r="120" spans="1:15" ht="29.05" customHeight="1" x14ac:dyDescent="0.35">
      <c r="B120" s="177" t="s">
        <v>52</v>
      </c>
      <c r="C120" s="52" t="e" vm="18">
        <v>#VALUE!</v>
      </c>
      <c r="D120" s="52" t="e" vm="18">
        <f t="shared" si="35"/>
        <v>#VALUE!</v>
      </c>
      <c r="E120" s="52" cm="1">
        <f t="array" aca="1" ref="E120" ca="1">_FV(D120,"Price")</f>
        <v>0.1227</v>
      </c>
      <c r="F120" s="77">
        <v>0.52</v>
      </c>
      <c r="G120" s="54">
        <v>500</v>
      </c>
      <c r="H120" s="52">
        <f t="shared" si="36"/>
        <v>260</v>
      </c>
      <c r="I120" s="52" t="s">
        <v>5</v>
      </c>
      <c r="J120" s="10"/>
      <c r="K120" s="7"/>
      <c r="L120" s="83"/>
      <c r="M120" s="11"/>
    </row>
    <row r="121" spans="1:15" x14ac:dyDescent="0.35">
      <c r="B121" s="178"/>
      <c r="C121" s="78" t="s">
        <v>59</v>
      </c>
      <c r="D121" s="52" t="str">
        <f t="shared" si="35"/>
        <v>ZOM</v>
      </c>
      <c r="E121" s="52">
        <f ca="1">E120</f>
        <v>0.1227</v>
      </c>
      <c r="F121" s="52">
        <v>0.05</v>
      </c>
      <c r="G121" s="54">
        <f>G120</f>
        <v>500</v>
      </c>
      <c r="H121" s="52">
        <f t="shared" si="36"/>
        <v>25</v>
      </c>
      <c r="I121" s="52"/>
      <c r="J121" s="10">
        <f>H121-H120</f>
        <v>-235</v>
      </c>
      <c r="K121" s="7">
        <f>(H121/H120)-100%</f>
        <v>-0.90384615384615385</v>
      </c>
      <c r="L121" s="83"/>
      <c r="M121" s="11"/>
      <c r="N121" s="5" t="s">
        <v>48</v>
      </c>
    </row>
    <row r="122" spans="1:15" x14ac:dyDescent="0.35">
      <c r="A122" s="5">
        <v>1</v>
      </c>
      <c r="B122" s="97"/>
      <c r="C122" s="25" t="e" vm="19">
        <v>#VALUE!</v>
      </c>
      <c r="D122" s="25" t="e" vm="19">
        <f t="shared" si="35"/>
        <v>#VALUE!</v>
      </c>
      <c r="E122" s="25" cm="1">
        <f t="array" aca="1" ref="E122" ca="1">_FV(D122,"Price")</f>
        <v>2.17</v>
      </c>
      <c r="F122" s="74">
        <v>0.76500000000000001</v>
      </c>
      <c r="G122" s="26">
        <v>1500</v>
      </c>
      <c r="H122" s="25">
        <f t="shared" si="36"/>
        <v>1147.5</v>
      </c>
      <c r="I122" s="25" t="s">
        <v>5</v>
      </c>
      <c r="J122" s="27"/>
      <c r="K122" s="28"/>
      <c r="L122" s="83"/>
      <c r="M122" s="124"/>
    </row>
    <row r="123" spans="1:15" x14ac:dyDescent="0.35">
      <c r="A123" s="5">
        <v>1</v>
      </c>
      <c r="B123" s="97"/>
      <c r="C123" s="75" t="s">
        <v>61</v>
      </c>
      <c r="D123" s="25" t="str">
        <f t="shared" si="35"/>
        <v>CTRM</v>
      </c>
      <c r="E123" s="25">
        <f ca="1">E122</f>
        <v>2.17</v>
      </c>
      <c r="F123" s="25">
        <f ca="1">E123</f>
        <v>2.17</v>
      </c>
      <c r="G123" s="26">
        <f>G122</f>
        <v>1500</v>
      </c>
      <c r="H123" s="25">
        <f t="shared" ca="1" si="36"/>
        <v>3255</v>
      </c>
      <c r="I123" s="25"/>
      <c r="J123" s="27">
        <f ca="1">H123-H122</f>
        <v>2107.5</v>
      </c>
      <c r="K123" s="28">
        <f ca="1">(H123/H122)-100%</f>
        <v>1.8366013071895426</v>
      </c>
      <c r="L123" s="83"/>
      <c r="M123" s="124"/>
    </row>
    <row r="124" spans="1:15" x14ac:dyDescent="0.35">
      <c r="A124" s="5">
        <v>1</v>
      </c>
      <c r="B124" s="97"/>
      <c r="C124" s="25" t="e" vm="19">
        <v>#VALUE!</v>
      </c>
      <c r="D124" s="25" t="e" vm="19">
        <f t="shared" si="35"/>
        <v>#VALUE!</v>
      </c>
      <c r="E124" s="25" cm="1">
        <f t="array" aca="1" ref="E124" ca="1">_FV(D124,"Price")</f>
        <v>2.17</v>
      </c>
      <c r="F124" s="74">
        <v>0.36699999999999999</v>
      </c>
      <c r="G124" s="26">
        <v>1000</v>
      </c>
      <c r="H124" s="25">
        <f t="shared" si="36"/>
        <v>367</v>
      </c>
      <c r="I124" s="25" t="s">
        <v>5</v>
      </c>
      <c r="J124" s="27"/>
      <c r="K124" s="28"/>
      <c r="L124" s="83"/>
      <c r="M124" s="124"/>
    </row>
    <row r="125" spans="1:15" x14ac:dyDescent="0.35">
      <c r="A125" s="5">
        <v>1</v>
      </c>
      <c r="B125" s="97"/>
      <c r="C125" s="75" t="s">
        <v>61</v>
      </c>
      <c r="D125" s="25" t="str">
        <f t="shared" si="35"/>
        <v>CTRM</v>
      </c>
      <c r="E125" s="25">
        <f ca="1">E124</f>
        <v>2.17</v>
      </c>
      <c r="F125" s="25">
        <f ca="1">E125</f>
        <v>2.17</v>
      </c>
      <c r="G125" s="26">
        <f>G124</f>
        <v>1000</v>
      </c>
      <c r="H125" s="25">
        <f t="shared" ca="1" si="36"/>
        <v>2170</v>
      </c>
      <c r="I125" s="25"/>
      <c r="J125" s="27">
        <f ca="1">H125-H124</f>
        <v>1803</v>
      </c>
      <c r="K125" s="28">
        <f ca="1">(H125/H124)-100%</f>
        <v>4.9128065395095364</v>
      </c>
      <c r="L125" s="83"/>
      <c r="M125" s="124"/>
    </row>
    <row r="126" spans="1:15" x14ac:dyDescent="0.35">
      <c r="A126" s="5">
        <v>1</v>
      </c>
      <c r="B126" s="97"/>
      <c r="C126" s="13" t="e" vm="19">
        <v>#VALUE!</v>
      </c>
      <c r="D126" s="13" t="e" vm="19">
        <f t="shared" si="35"/>
        <v>#VALUE!</v>
      </c>
      <c r="E126" s="13" cm="1">
        <f t="array" aca="1" ref="E126" ca="1">_FV(D126,"Price")</f>
        <v>2.17</v>
      </c>
      <c r="F126" s="73">
        <v>7.65</v>
      </c>
      <c r="G126" s="14">
        <v>150</v>
      </c>
      <c r="H126" s="13">
        <f t="shared" si="36"/>
        <v>1147.5</v>
      </c>
      <c r="I126" s="13" t="s">
        <v>5</v>
      </c>
      <c r="J126" s="10"/>
      <c r="K126" s="7"/>
      <c r="L126" s="83"/>
      <c r="M126" s="11"/>
      <c r="N126" s="24" t="s">
        <v>62</v>
      </c>
    </row>
    <row r="127" spans="1:15" x14ac:dyDescent="0.35">
      <c r="A127" s="5">
        <v>1</v>
      </c>
      <c r="B127" s="97"/>
      <c r="C127" s="15" t="s">
        <v>61</v>
      </c>
      <c r="D127" s="13" t="str">
        <f t="shared" si="35"/>
        <v>CTRM</v>
      </c>
      <c r="E127" s="13">
        <f ca="1">E126</f>
        <v>2.17</v>
      </c>
      <c r="F127" s="13">
        <f ca="1">E127</f>
        <v>2.17</v>
      </c>
      <c r="G127" s="14">
        <f>G126</f>
        <v>150</v>
      </c>
      <c r="H127" s="13">
        <f t="shared" ca="1" si="36"/>
        <v>325.5</v>
      </c>
      <c r="I127" s="13"/>
      <c r="J127" s="10">
        <f ca="1">H127-H126</f>
        <v>-822</v>
      </c>
      <c r="K127" s="7">
        <f ca="1">(H127/H126)-100%</f>
        <v>-0.71633986928104576</v>
      </c>
      <c r="L127" s="83"/>
      <c r="M127" s="11"/>
      <c r="N127" s="24" t="s">
        <v>62</v>
      </c>
    </row>
    <row r="128" spans="1:15" x14ac:dyDescent="0.35">
      <c r="A128" s="5">
        <v>1</v>
      </c>
      <c r="B128" s="97"/>
      <c r="C128" s="13" t="e" vm="19">
        <v>#VALUE!</v>
      </c>
      <c r="D128" s="13" t="e" vm="19">
        <f t="shared" si="35"/>
        <v>#VALUE!</v>
      </c>
      <c r="E128" s="13" cm="1">
        <f t="array" aca="1" ref="E128" ca="1">_FV(D128,"Price")</f>
        <v>2.17</v>
      </c>
      <c r="F128" s="73">
        <v>3.67</v>
      </c>
      <c r="G128" s="14">
        <v>100</v>
      </c>
      <c r="H128" s="13">
        <f t="shared" si="36"/>
        <v>367</v>
      </c>
      <c r="I128" s="13" t="s">
        <v>5</v>
      </c>
      <c r="J128" s="10"/>
      <c r="K128" s="7"/>
      <c r="L128" s="83"/>
      <c r="M128" s="11"/>
      <c r="N128" s="24" t="s">
        <v>62</v>
      </c>
    </row>
    <row r="129" spans="1:16" x14ac:dyDescent="0.35">
      <c r="A129" s="5">
        <v>1</v>
      </c>
      <c r="B129" s="97"/>
      <c r="C129" s="15" t="s">
        <v>61</v>
      </c>
      <c r="D129" s="13" t="str">
        <f t="shared" si="35"/>
        <v>CTRM</v>
      </c>
      <c r="E129" s="13">
        <f ca="1">E128</f>
        <v>2.17</v>
      </c>
      <c r="F129" s="13">
        <f ca="1">E129</f>
        <v>2.17</v>
      </c>
      <c r="G129" s="14">
        <f>G128</f>
        <v>100</v>
      </c>
      <c r="H129" s="13">
        <f t="shared" ca="1" si="36"/>
        <v>217</v>
      </c>
      <c r="I129" s="13"/>
      <c r="J129" s="10">
        <f ca="1">H129-H128</f>
        <v>-150</v>
      </c>
      <c r="K129" s="7">
        <f ca="1">(H129/H128)-100%</f>
        <v>-0.40871934604904636</v>
      </c>
      <c r="L129" s="83"/>
      <c r="M129" s="11"/>
      <c r="N129" s="24" t="s">
        <v>62</v>
      </c>
    </row>
    <row r="130" spans="1:16" ht="29.05" customHeight="1" x14ac:dyDescent="0.35">
      <c r="B130" s="177" t="s">
        <v>52</v>
      </c>
      <c r="C130" s="52" t="e" vm="19">
        <v>#VALUE!</v>
      </c>
      <c r="D130" s="52" t="e" vm="19">
        <f t="shared" ref="D130:D131" si="39">C130</f>
        <v>#VALUE!</v>
      </c>
      <c r="E130" s="52" cm="1">
        <f t="array" aca="1" ref="E130" ca="1">_FV(D130,"Price")</f>
        <v>2.17</v>
      </c>
      <c r="F130" s="52">
        <v>35</v>
      </c>
      <c r="G130" s="54">
        <v>25</v>
      </c>
      <c r="H130" s="52">
        <f t="shared" ref="H130:H131" si="40">F130*G130</f>
        <v>875</v>
      </c>
      <c r="I130" s="52" t="s">
        <v>5</v>
      </c>
      <c r="J130" s="10"/>
      <c r="K130" s="7"/>
      <c r="L130" s="83"/>
      <c r="M130" s="11"/>
      <c r="N130" s="24"/>
    </row>
    <row r="131" spans="1:16" x14ac:dyDescent="0.35">
      <c r="B131" s="178"/>
      <c r="C131" s="78" t="s">
        <v>61</v>
      </c>
      <c r="D131" s="52" t="str">
        <f t="shared" si="39"/>
        <v>CTRM</v>
      </c>
      <c r="E131" s="52">
        <f ca="1">E130</f>
        <v>2.17</v>
      </c>
      <c r="F131" s="52">
        <v>2.12</v>
      </c>
      <c r="G131" s="54">
        <f>G130</f>
        <v>25</v>
      </c>
      <c r="H131" s="52">
        <f t="shared" si="40"/>
        <v>53</v>
      </c>
      <c r="I131" s="52"/>
      <c r="J131" s="10">
        <f>H131-H130</f>
        <v>-822</v>
      </c>
      <c r="K131" s="7">
        <f>(H131/H130)-100%</f>
        <v>-0.93942857142857139</v>
      </c>
      <c r="L131" s="83"/>
      <c r="M131" s="11"/>
      <c r="N131" s="24" t="s">
        <v>63</v>
      </c>
      <c r="O131" s="5" t="s">
        <v>48</v>
      </c>
    </row>
    <row r="132" spans="1:16" x14ac:dyDescent="0.35">
      <c r="A132" s="5">
        <v>1</v>
      </c>
      <c r="B132" s="97"/>
      <c r="C132" s="16" t="s">
        <v>64</v>
      </c>
      <c r="D132" s="16" t="str">
        <f>C132</f>
        <v>DogeCoin</v>
      </c>
      <c r="E132" s="16" t="e" cm="1" vm="20">
        <f t="array" ref="E132">_FV(D132,"Price")</f>
        <v>#VALUE!</v>
      </c>
      <c r="F132" s="16">
        <v>0.28999999999999998</v>
      </c>
      <c r="G132" s="29">
        <v>9174.08</v>
      </c>
      <c r="H132" s="16">
        <f t="shared" ref="H132:H141" si="41">F132*G132</f>
        <v>2660.4831999999997</v>
      </c>
      <c r="I132" s="16" t="s">
        <v>5</v>
      </c>
      <c r="J132" s="10"/>
      <c r="K132" s="7"/>
      <c r="L132" s="83"/>
      <c r="M132" s="11"/>
    </row>
    <row r="133" spans="1:16" x14ac:dyDescent="0.35">
      <c r="A133" s="5">
        <v>1</v>
      </c>
      <c r="B133" s="97"/>
      <c r="C133" s="23" t="s">
        <v>65</v>
      </c>
      <c r="D133" s="16" t="str">
        <f t="shared" ref="D133" si="42">C133</f>
        <v>DOGE</v>
      </c>
      <c r="E133" s="16" t="e" vm="21">
        <f>E132</f>
        <v>#VALUE!</v>
      </c>
      <c r="F133" s="16">
        <v>1</v>
      </c>
      <c r="G133" s="29">
        <f>G132</f>
        <v>9174.08</v>
      </c>
      <c r="H133" s="16">
        <f t="shared" si="41"/>
        <v>9174.08</v>
      </c>
      <c r="I133" s="16"/>
      <c r="J133" s="10">
        <f>H133-H132</f>
        <v>6513.5968000000003</v>
      </c>
      <c r="K133" s="7">
        <f>(H133/H132)-100%</f>
        <v>2.4482758620689657</v>
      </c>
      <c r="L133" s="83"/>
      <c r="M133" s="11"/>
    </row>
    <row r="134" spans="1:16" x14ac:dyDescent="0.35">
      <c r="A134" s="5">
        <v>1</v>
      </c>
      <c r="B134" s="97"/>
      <c r="C134" s="16" t="s">
        <v>64</v>
      </c>
      <c r="D134" s="16" t="str">
        <f>C134</f>
        <v>DogeCoin</v>
      </c>
      <c r="E134" s="16" t="e" cm="1" vm="20">
        <f t="array" ref="E134">_FV(D134,"Price")</f>
        <v>#VALUE!</v>
      </c>
      <c r="F134" s="16">
        <v>0.52</v>
      </c>
      <c r="G134" s="29">
        <v>3607</v>
      </c>
      <c r="H134" s="16">
        <f t="shared" si="41"/>
        <v>1875.64</v>
      </c>
      <c r="I134" s="16" t="s">
        <v>5</v>
      </c>
      <c r="J134" s="10"/>
      <c r="K134" s="7"/>
      <c r="L134" s="83"/>
      <c r="M134" s="11"/>
    </row>
    <row r="135" spans="1:16" x14ac:dyDescent="0.35">
      <c r="A135" s="5">
        <v>1</v>
      </c>
      <c r="B135" s="97"/>
      <c r="C135" s="23" t="s">
        <v>65</v>
      </c>
      <c r="D135" s="16" t="str">
        <f t="shared" ref="D135" si="43">C135</f>
        <v>DOGE</v>
      </c>
      <c r="E135" s="16" t="e" vm="21">
        <f>E134</f>
        <v>#VALUE!</v>
      </c>
      <c r="F135" s="16">
        <v>1</v>
      </c>
      <c r="G135" s="29">
        <f>G134</f>
        <v>3607</v>
      </c>
      <c r="H135" s="16">
        <f t="shared" si="41"/>
        <v>3607</v>
      </c>
      <c r="I135" s="16"/>
      <c r="J135" s="10">
        <f>H135-H134</f>
        <v>1731.36</v>
      </c>
      <c r="K135" s="7">
        <f>(H135/H134)-100%</f>
        <v>0.92307692307692291</v>
      </c>
      <c r="L135" s="83"/>
      <c r="M135" s="11"/>
    </row>
    <row r="136" spans="1:16" ht="14.65" customHeight="1" x14ac:dyDescent="0.35">
      <c r="B136" s="170" t="s">
        <v>66</v>
      </c>
      <c r="C136" s="43" t="e" vm="11">
        <v>#VALUE!</v>
      </c>
      <c r="D136" s="43" t="e" vm="11">
        <f>C136</f>
        <v>#VALUE!</v>
      </c>
      <c r="E136" s="43" cm="1">
        <f t="array" aca="1" ref="E136" ca="1">_FV(D136,"Price")</f>
        <v>396.80220000000003</v>
      </c>
      <c r="F136" s="43">
        <f>985/3</f>
        <v>328.33333333333331</v>
      </c>
      <c r="G136" s="44">
        <f>6*3</f>
        <v>18</v>
      </c>
      <c r="H136" s="43">
        <f t="shared" si="41"/>
        <v>5910</v>
      </c>
      <c r="I136" s="43" t="s">
        <v>5</v>
      </c>
      <c r="J136" s="30"/>
      <c r="K136" s="31"/>
      <c r="L136" s="83"/>
      <c r="M136" s="12"/>
    </row>
    <row r="137" spans="1:16" x14ac:dyDescent="0.35">
      <c r="B137" s="170"/>
      <c r="C137" s="80" t="s">
        <v>37</v>
      </c>
      <c r="D137" s="43" t="str">
        <f t="shared" ref="D137" si="44">C137</f>
        <v>TSLA</v>
      </c>
      <c r="E137" s="43">
        <f ca="1">E136</f>
        <v>396.80220000000003</v>
      </c>
      <c r="F137" s="43">
        <v>330.48</v>
      </c>
      <c r="G137" s="44">
        <f>G136</f>
        <v>18</v>
      </c>
      <c r="H137" s="43">
        <f t="shared" si="41"/>
        <v>5948.64</v>
      </c>
      <c r="I137" s="43"/>
      <c r="J137" s="30">
        <f>H137-H136</f>
        <v>38.640000000000327</v>
      </c>
      <c r="K137" s="31">
        <f>(H137/H136)-100%</f>
        <v>6.5380710659899144E-3</v>
      </c>
      <c r="L137" s="83"/>
      <c r="M137" s="12"/>
      <c r="N137" s="5" t="s">
        <v>8</v>
      </c>
      <c r="O137" s="5" t="s">
        <v>67</v>
      </c>
      <c r="P137" s="5" t="s">
        <v>68</v>
      </c>
    </row>
    <row r="138" spans="1:16" x14ac:dyDescent="0.35">
      <c r="B138" s="177" t="s">
        <v>52</v>
      </c>
      <c r="C138" s="43" t="e" vm="22">
        <v>#VALUE!</v>
      </c>
      <c r="D138" s="43" t="e" vm="22">
        <f>C138</f>
        <v>#VALUE!</v>
      </c>
      <c r="E138" s="43" cm="1">
        <f t="array" aca="1" ref="E138" ca="1">_FV(D138,"Price")</f>
        <v>409.05500000000001</v>
      </c>
      <c r="F138" s="43">
        <v>276.45</v>
      </c>
      <c r="G138" s="44">
        <v>2</v>
      </c>
      <c r="H138" s="43">
        <f t="shared" si="41"/>
        <v>552.9</v>
      </c>
      <c r="I138" s="43" t="s">
        <v>5</v>
      </c>
      <c r="J138" s="30"/>
      <c r="K138" s="31"/>
      <c r="L138" s="83"/>
      <c r="M138" s="12"/>
    </row>
    <row r="139" spans="1:16" x14ac:dyDescent="0.35">
      <c r="B139" s="178"/>
      <c r="C139" s="43" t="s">
        <v>69</v>
      </c>
      <c r="D139" s="43" t="str">
        <f t="shared" ref="D139" si="45">C139</f>
        <v>MSFT</v>
      </c>
      <c r="E139" s="43">
        <f ca="1">E138</f>
        <v>409.05500000000001</v>
      </c>
      <c r="F139" s="43">
        <v>433.7</v>
      </c>
      <c r="G139" s="44">
        <f>G138</f>
        <v>2</v>
      </c>
      <c r="H139" s="43">
        <f t="shared" si="41"/>
        <v>867.4</v>
      </c>
      <c r="I139" s="43"/>
      <c r="J139" s="30">
        <f>H139-H138</f>
        <v>314.5</v>
      </c>
      <c r="K139" s="31">
        <f>(H139/H138)-100%</f>
        <v>0.56881895460300247</v>
      </c>
      <c r="L139" s="83"/>
      <c r="M139" s="12"/>
      <c r="N139" s="18" t="s">
        <v>70</v>
      </c>
      <c r="O139" s="5" t="s">
        <v>71</v>
      </c>
      <c r="P139" s="5" t="s">
        <v>72</v>
      </c>
    </row>
    <row r="140" spans="1:16" x14ac:dyDescent="0.35">
      <c r="B140" s="177" t="s">
        <v>52</v>
      </c>
      <c r="C140" s="43" t="e" vm="22">
        <v>#VALUE!</v>
      </c>
      <c r="D140" s="43" t="e" vm="22">
        <f>C140</f>
        <v>#VALUE!</v>
      </c>
      <c r="E140" s="43" cm="1">
        <f t="array" aca="1" ref="E140" ca="1">_FV(D140,"Price")</f>
        <v>409.05500000000001</v>
      </c>
      <c r="F140" s="43">
        <v>276.45</v>
      </c>
      <c r="G140" s="44">
        <v>2</v>
      </c>
      <c r="H140" s="43">
        <f t="shared" si="41"/>
        <v>552.9</v>
      </c>
      <c r="I140" s="43" t="s">
        <v>5</v>
      </c>
      <c r="J140" s="30"/>
      <c r="K140" s="31"/>
      <c r="L140" s="83"/>
      <c r="M140" s="12"/>
    </row>
    <row r="141" spans="1:16" ht="43.2" x14ac:dyDescent="0.35">
      <c r="B141" s="178"/>
      <c r="C141" s="43" t="s">
        <v>69</v>
      </c>
      <c r="D141" s="43" t="str">
        <f t="shared" ref="D141" si="46">C141</f>
        <v>MSFT</v>
      </c>
      <c r="E141" s="43">
        <f ca="1">E140</f>
        <v>409.05500000000001</v>
      </c>
      <c r="F141" s="43">
        <v>433.7</v>
      </c>
      <c r="G141" s="44">
        <f>G140</f>
        <v>2</v>
      </c>
      <c r="H141" s="43">
        <f t="shared" si="41"/>
        <v>867.4</v>
      </c>
      <c r="I141" s="43"/>
      <c r="J141" s="30">
        <f>H141-H140</f>
        <v>314.5</v>
      </c>
      <c r="K141" s="31">
        <f>(H141/H140)-100%</f>
        <v>0.56881895460300247</v>
      </c>
      <c r="L141" s="83"/>
      <c r="M141" s="12"/>
      <c r="N141" s="19" t="s">
        <v>73</v>
      </c>
      <c r="O141" s="5" t="s">
        <v>71</v>
      </c>
      <c r="P141" s="5" t="s">
        <v>72</v>
      </c>
    </row>
    <row r="142" spans="1:16" ht="28.8" x14ac:dyDescent="0.35">
      <c r="B142" s="76" t="s">
        <v>74</v>
      </c>
      <c r="C142" s="43" t="e" vm="22">
        <v>#VALUE!</v>
      </c>
      <c r="D142" s="43" t="e" vm="22">
        <f>C142</f>
        <v>#VALUE!</v>
      </c>
      <c r="E142" s="43" cm="1">
        <f t="array" aca="1" ref="E142" ca="1">_FV(D142,"Price")</f>
        <v>409.05500000000001</v>
      </c>
      <c r="F142" s="43">
        <v>330.22</v>
      </c>
      <c r="G142" s="44">
        <v>2</v>
      </c>
      <c r="H142" s="43">
        <f t="shared" ref="H142:H149" si="47">F142*G142</f>
        <v>660.44</v>
      </c>
      <c r="I142" s="43" t="s">
        <v>5</v>
      </c>
      <c r="J142" s="30"/>
      <c r="K142" s="31"/>
      <c r="L142" s="83"/>
      <c r="M142" s="12"/>
    </row>
    <row r="143" spans="1:16" ht="43.2" x14ac:dyDescent="0.35">
      <c r="B143" s="97"/>
      <c r="C143" s="43" t="s">
        <v>69</v>
      </c>
      <c r="D143" s="43" t="str">
        <f t="shared" ref="D143" si="48">C143</f>
        <v>MSFT</v>
      </c>
      <c r="E143" s="43">
        <f ca="1">E142</f>
        <v>409.05500000000001</v>
      </c>
      <c r="F143" s="43">
        <v>434.46</v>
      </c>
      <c r="G143" s="44">
        <f>G142</f>
        <v>2</v>
      </c>
      <c r="H143" s="43">
        <f t="shared" si="47"/>
        <v>868.92</v>
      </c>
      <c r="I143" s="43"/>
      <c r="J143" s="30">
        <f>H143-H142</f>
        <v>208.4799999999999</v>
      </c>
      <c r="K143" s="31">
        <f>(H143/H142)-100%</f>
        <v>0.31566834231724283</v>
      </c>
      <c r="L143" s="83"/>
      <c r="M143" s="12"/>
      <c r="N143" s="19" t="s">
        <v>75</v>
      </c>
      <c r="P143" s="5" t="s">
        <v>72</v>
      </c>
    </row>
    <row r="144" spans="1:16" x14ac:dyDescent="0.35">
      <c r="B144" s="143" t="s">
        <v>32</v>
      </c>
      <c r="C144" s="63" t="e" vm="22">
        <v>#VALUE!</v>
      </c>
      <c r="D144" s="63" t="e" vm="22">
        <f>C144</f>
        <v>#VALUE!</v>
      </c>
      <c r="E144" s="63" cm="1">
        <f t="array" aca="1" ref="E144" ca="1">_FV(D144,"Price")</f>
        <v>409.05500000000001</v>
      </c>
      <c r="F144" s="63">
        <v>392.1</v>
      </c>
      <c r="G144" s="64">
        <v>38</v>
      </c>
      <c r="H144" s="63">
        <f t="shared" ref="H144:H145" si="49">F144*G144</f>
        <v>14899.800000000001</v>
      </c>
      <c r="I144" s="63" t="s">
        <v>5</v>
      </c>
      <c r="J144" s="10"/>
      <c r="K144" s="7"/>
      <c r="L144" s="83"/>
      <c r="M144" s="11"/>
    </row>
    <row r="145" spans="1:16" x14ac:dyDescent="0.35">
      <c r="B145" s="143"/>
      <c r="C145" s="63" t="s">
        <v>69</v>
      </c>
      <c r="D145" s="63" t="str">
        <f t="shared" ref="D145" si="50">C145</f>
        <v>MSFT</v>
      </c>
      <c r="E145" s="63">
        <f ca="1">E144</f>
        <v>409.05500000000001</v>
      </c>
      <c r="F145" s="63">
        <f ca="1">E145</f>
        <v>409.05500000000001</v>
      </c>
      <c r="G145" s="64">
        <f>G144</f>
        <v>38</v>
      </c>
      <c r="H145" s="63">
        <f t="shared" ca="1" si="49"/>
        <v>15544.09</v>
      </c>
      <c r="I145" s="63"/>
      <c r="J145" s="30">
        <f ca="1">H145-H144</f>
        <v>644.28999999999905</v>
      </c>
      <c r="K145" s="31">
        <f ca="1">(H145/H144)-100%</f>
        <v>4.3241520020402824E-2</v>
      </c>
      <c r="L145" s="83"/>
      <c r="M145" s="12"/>
      <c r="N145" s="5" t="s">
        <v>76</v>
      </c>
      <c r="O145" s="5" t="s">
        <v>77</v>
      </c>
    </row>
    <row r="146" spans="1:16" x14ac:dyDescent="0.35">
      <c r="B146" s="143" t="s">
        <v>32</v>
      </c>
      <c r="C146" s="63" t="e" vm="22">
        <v>#VALUE!</v>
      </c>
      <c r="D146" s="63" t="e" vm="22">
        <f>C146</f>
        <v>#VALUE!</v>
      </c>
      <c r="E146" s="63" cm="1">
        <f t="array" aca="1" ref="E146" ca="1">_FV(D146,"Price")</f>
        <v>409.05500000000001</v>
      </c>
      <c r="F146" s="63">
        <v>392.1</v>
      </c>
      <c r="G146" s="64">
        <v>38</v>
      </c>
      <c r="H146" s="63">
        <f t="shared" ref="H146:H147" si="51">F146*G146</f>
        <v>14899.800000000001</v>
      </c>
      <c r="I146" s="63" t="s">
        <v>5</v>
      </c>
      <c r="J146" s="10"/>
      <c r="K146" s="7"/>
      <c r="L146" s="83"/>
      <c r="M146" s="11"/>
    </row>
    <row r="147" spans="1:16" x14ac:dyDescent="0.35">
      <c r="B147" s="143"/>
      <c r="C147" s="63" t="s">
        <v>69</v>
      </c>
      <c r="D147" s="63" t="str">
        <f t="shared" ref="D147" si="52">C147</f>
        <v>MSFT</v>
      </c>
      <c r="E147" s="63">
        <f ca="1">E146</f>
        <v>409.05500000000001</v>
      </c>
      <c r="F147" s="63">
        <v>432</v>
      </c>
      <c r="G147" s="64">
        <f>G146</f>
        <v>38</v>
      </c>
      <c r="H147" s="63">
        <f t="shared" si="51"/>
        <v>16416</v>
      </c>
      <c r="I147" s="63"/>
      <c r="J147" s="30">
        <f>H147-H146</f>
        <v>1516.1999999999989</v>
      </c>
      <c r="K147" s="31">
        <f>(H147/H146)-100%</f>
        <v>0.10175975516449887</v>
      </c>
      <c r="L147" s="83"/>
      <c r="M147" s="12"/>
      <c r="N147" s="5" t="s">
        <v>76</v>
      </c>
      <c r="O147" s="5" t="s">
        <v>78</v>
      </c>
    </row>
    <row r="148" spans="1:16" x14ac:dyDescent="0.35">
      <c r="A148" s="5">
        <v>1</v>
      </c>
      <c r="B148" s="97" t="s">
        <v>79</v>
      </c>
      <c r="C148" s="16" t="s">
        <v>80</v>
      </c>
      <c r="D148" s="16" t="str">
        <f>C148</f>
        <v>Cardano</v>
      </c>
      <c r="E148" s="16" t="e" cm="1" vm="20">
        <f t="array" ref="E148">_FV(D148,"Price")</f>
        <v>#VALUE!</v>
      </c>
      <c r="F148" s="16">
        <v>1.1499999999999999</v>
      </c>
      <c r="G148" s="29">
        <v>584.4</v>
      </c>
      <c r="H148" s="16">
        <f t="shared" si="47"/>
        <v>672.06</v>
      </c>
      <c r="I148" s="16" t="s">
        <v>5</v>
      </c>
      <c r="J148" s="10"/>
      <c r="K148" s="7"/>
      <c r="L148" s="83"/>
      <c r="M148" s="11"/>
    </row>
    <row r="149" spans="1:16" x14ac:dyDescent="0.35">
      <c r="A149" s="5">
        <v>1</v>
      </c>
      <c r="B149" s="97"/>
      <c r="C149" s="23" t="s">
        <v>81</v>
      </c>
      <c r="D149" s="16" t="str">
        <f t="shared" ref="D149" si="53">C149</f>
        <v>ADA</v>
      </c>
      <c r="E149" s="16" t="e" vm="21">
        <f>E148</f>
        <v>#VALUE!</v>
      </c>
      <c r="F149" s="16">
        <v>1.53</v>
      </c>
      <c r="G149" s="29">
        <f>G148</f>
        <v>584.4</v>
      </c>
      <c r="H149" s="16">
        <f t="shared" si="47"/>
        <v>894.13199999999995</v>
      </c>
      <c r="I149" s="16"/>
      <c r="J149" s="10">
        <f>H149-H148</f>
        <v>222.072</v>
      </c>
      <c r="K149" s="7">
        <f>(H149/H148)-100%</f>
        <v>0.33043478260869574</v>
      </c>
      <c r="L149" s="83"/>
      <c r="M149" s="11"/>
      <c r="N149" s="5" t="s">
        <v>82</v>
      </c>
    </row>
    <row r="150" spans="1:16" x14ac:dyDescent="0.35">
      <c r="B150" s="97" t="s">
        <v>79</v>
      </c>
      <c r="C150" s="63" t="s">
        <v>80</v>
      </c>
      <c r="D150" s="63" t="str">
        <f>C150</f>
        <v>Cardano</v>
      </c>
      <c r="E150" s="63" t="e" cm="1" vm="20">
        <f t="array" ref="E150">_FV(D150,"Price")</f>
        <v>#VALUE!</v>
      </c>
      <c r="F150" s="63">
        <v>1.1499999999999999</v>
      </c>
      <c r="G150" s="64">
        <v>457.5</v>
      </c>
      <c r="H150" s="63">
        <f t="shared" ref="H150:H151" si="54">F150*G150</f>
        <v>526.125</v>
      </c>
      <c r="I150" s="63" t="s">
        <v>5</v>
      </c>
      <c r="J150" s="10"/>
      <c r="K150" s="7"/>
      <c r="L150" s="83"/>
      <c r="M150" s="11"/>
      <c r="P150" s="5">
        <v>867.4</v>
      </c>
    </row>
    <row r="151" spans="1:16" x14ac:dyDescent="0.35">
      <c r="B151" s="97"/>
      <c r="C151" s="63" t="s">
        <v>81</v>
      </c>
      <c r="D151" s="63" t="str">
        <f t="shared" ref="D151" si="55">C151</f>
        <v>ADA</v>
      </c>
      <c r="E151" s="63" t="e" vm="21">
        <f>E150</f>
        <v>#VALUE!</v>
      </c>
      <c r="F151" s="63">
        <v>1.53</v>
      </c>
      <c r="G151" s="64">
        <f>G150</f>
        <v>457.5</v>
      </c>
      <c r="H151" s="63">
        <f t="shared" si="54"/>
        <v>699.97500000000002</v>
      </c>
      <c r="I151" s="63"/>
      <c r="J151" s="10">
        <f>H151-H150</f>
        <v>173.85000000000002</v>
      </c>
      <c r="K151" s="7">
        <f>(H151/H150)-100%</f>
        <v>0.33043478260869574</v>
      </c>
      <c r="L151" s="83"/>
      <c r="M151" s="11"/>
      <c r="N151" s="5" t="s">
        <v>83</v>
      </c>
      <c r="P151" s="5">
        <v>867.4</v>
      </c>
    </row>
    <row r="152" spans="1:16" x14ac:dyDescent="0.35">
      <c r="A152" s="5">
        <v>1</v>
      </c>
      <c r="B152" s="97"/>
      <c r="C152" s="16" t="s">
        <v>84</v>
      </c>
      <c r="D152" s="16" t="str">
        <f>C152</f>
        <v>SHIBA INU</v>
      </c>
      <c r="E152" s="32">
        <v>7.4900000000000005E-5</v>
      </c>
      <c r="F152" s="32">
        <v>7.4900000000000005E-5</v>
      </c>
      <c r="G152" s="16">
        <v>4193276.64</v>
      </c>
      <c r="H152" s="16">
        <f t="shared" ref="H152:H153" si="56">F152*G152</f>
        <v>314.07642033600001</v>
      </c>
      <c r="I152" s="16" t="s">
        <v>5</v>
      </c>
      <c r="J152" s="10"/>
      <c r="K152" s="7"/>
      <c r="L152" s="83"/>
      <c r="M152" s="11"/>
      <c r="P152" s="5">
        <v>868.92</v>
      </c>
    </row>
    <row r="153" spans="1:16" x14ac:dyDescent="0.35">
      <c r="A153" s="5">
        <v>1</v>
      </c>
      <c r="B153" s="97"/>
      <c r="C153" s="23" t="s">
        <v>85</v>
      </c>
      <c r="D153" s="16" t="str">
        <f t="shared" ref="D153" si="57">C153</f>
        <v>SHIB</v>
      </c>
      <c r="E153" s="32">
        <f>E152</f>
        <v>7.4900000000000005E-5</v>
      </c>
      <c r="F153" s="29">
        <v>500</v>
      </c>
      <c r="G153" s="16">
        <v>4193276.64</v>
      </c>
      <c r="H153" s="16">
        <f t="shared" si="56"/>
        <v>2096638320</v>
      </c>
      <c r="I153" s="16"/>
      <c r="J153" s="10">
        <f>H153-H152</f>
        <v>2096638005.9235797</v>
      </c>
      <c r="K153" s="7">
        <f>(H153/H152)-100%</f>
        <v>6675566.423230974</v>
      </c>
      <c r="L153" s="83"/>
      <c r="M153" s="11"/>
      <c r="P153" s="5">
        <f>SUM(P150:P152)</f>
        <v>2603.7199999999998</v>
      </c>
    </row>
    <row r="154" spans="1:16" x14ac:dyDescent="0.35">
      <c r="A154" s="5">
        <v>1</v>
      </c>
      <c r="B154" s="174" t="s">
        <v>86</v>
      </c>
      <c r="C154" s="13" t="e" vm="23">
        <v>#VALUE!</v>
      </c>
      <c r="D154" s="13" t="e" vm="23">
        <f>C154</f>
        <v>#VALUE!</v>
      </c>
      <c r="E154" s="13" cm="1">
        <f t="array" aca="1" ref="E154" ca="1">_FV(D154,"Price")</f>
        <v>1.62</v>
      </c>
      <c r="F154" s="13">
        <v>17.100000000000001</v>
      </c>
      <c r="G154" s="14">
        <v>500</v>
      </c>
      <c r="H154" s="13">
        <f t="shared" ref="H154:H171" si="58">F154*G154</f>
        <v>8550</v>
      </c>
      <c r="I154" s="13" t="s">
        <v>5</v>
      </c>
      <c r="J154" s="10"/>
      <c r="K154" s="7"/>
      <c r="L154" s="83"/>
      <c r="M154" s="11"/>
    </row>
    <row r="155" spans="1:16" x14ac:dyDescent="0.35">
      <c r="A155" s="5">
        <v>1</v>
      </c>
      <c r="B155" s="174"/>
      <c r="C155" s="15" t="s">
        <v>87</v>
      </c>
      <c r="D155" s="13" t="str">
        <f t="shared" ref="D155" si="59">C155</f>
        <v>BTBT</v>
      </c>
      <c r="E155" s="13">
        <f ca="1">E154</f>
        <v>1.62</v>
      </c>
      <c r="F155" s="13">
        <f ca="1">E155</f>
        <v>1.62</v>
      </c>
      <c r="G155" s="14">
        <f>G154</f>
        <v>500</v>
      </c>
      <c r="H155" s="13">
        <f t="shared" ca="1" si="58"/>
        <v>810</v>
      </c>
      <c r="I155" s="13"/>
      <c r="J155" s="10">
        <f ca="1">H155-H154</f>
        <v>-7740</v>
      </c>
      <c r="K155" s="7">
        <f ca="1">(H155/H154)-100%</f>
        <v>-0.90526315789473688</v>
      </c>
      <c r="L155" s="83"/>
      <c r="M155" s="11"/>
    </row>
    <row r="156" spans="1:16" ht="28.8" x14ac:dyDescent="0.35">
      <c r="A156" s="5">
        <v>1</v>
      </c>
      <c r="B156" s="61" t="s">
        <v>4</v>
      </c>
      <c r="C156" s="13" t="e" vm="23">
        <v>#VALUE!</v>
      </c>
      <c r="D156" s="13" t="e" vm="23">
        <f>C156</f>
        <v>#VALUE!</v>
      </c>
      <c r="E156" s="13" cm="1">
        <f t="array" aca="1" ref="E156" ca="1">_FV(D156,"Price")</f>
        <v>1.62</v>
      </c>
      <c r="F156" s="13">
        <f>2.5+13.03</f>
        <v>15.53</v>
      </c>
      <c r="G156" s="14">
        <v>100</v>
      </c>
      <c r="H156" s="13">
        <f t="shared" si="58"/>
        <v>1553</v>
      </c>
      <c r="I156" s="13" t="s">
        <v>5</v>
      </c>
      <c r="J156" s="10"/>
      <c r="K156" s="7"/>
      <c r="L156" s="83"/>
      <c r="M156" s="11"/>
      <c r="N156" s="6" t="s">
        <v>88</v>
      </c>
    </row>
    <row r="157" spans="1:16" x14ac:dyDescent="0.35">
      <c r="A157" s="5">
        <v>1</v>
      </c>
      <c r="B157" s="97"/>
      <c r="C157" s="15" t="s">
        <v>87</v>
      </c>
      <c r="D157" s="13" t="str">
        <f t="shared" ref="D157" si="60">C157</f>
        <v>BTBT</v>
      </c>
      <c r="E157" s="13">
        <f ca="1">E156</f>
        <v>1.62</v>
      </c>
      <c r="F157" s="13">
        <f ca="1">E157</f>
        <v>1.62</v>
      </c>
      <c r="G157" s="14">
        <f>G156</f>
        <v>100</v>
      </c>
      <c r="H157" s="13">
        <f t="shared" ca="1" si="58"/>
        <v>162</v>
      </c>
      <c r="I157" s="13"/>
      <c r="J157" s="10">
        <f ca="1">H157-H156</f>
        <v>-1391</v>
      </c>
      <c r="K157" s="7">
        <f ca="1">(H157/H156)-100%</f>
        <v>-0.89568576947842882</v>
      </c>
      <c r="L157" s="83"/>
      <c r="M157" s="11"/>
    </row>
    <row r="158" spans="1:16" x14ac:dyDescent="0.35">
      <c r="A158" s="5">
        <v>1</v>
      </c>
      <c r="B158" s="172" t="s">
        <v>89</v>
      </c>
      <c r="C158" s="16" t="e" vm="22">
        <v>#VALUE!</v>
      </c>
      <c r="D158" s="16" t="e" vm="22">
        <f>C158</f>
        <v>#VALUE!</v>
      </c>
      <c r="E158" s="16" cm="1">
        <f t="array" aca="1" ref="E158" ca="1">_FV(D158,"Price")</f>
        <v>409.05500000000001</v>
      </c>
      <c r="F158" s="16">
        <v>73.099999999999994</v>
      </c>
      <c r="G158" s="17">
        <v>5</v>
      </c>
      <c r="H158" s="16">
        <f t="shared" si="58"/>
        <v>365.5</v>
      </c>
      <c r="I158" s="13" t="s">
        <v>5</v>
      </c>
      <c r="J158" s="10"/>
      <c r="K158" s="7"/>
      <c r="L158" s="83"/>
      <c r="M158" s="11"/>
    </row>
    <row r="159" spans="1:16" x14ac:dyDescent="0.35">
      <c r="A159" s="5">
        <v>1</v>
      </c>
      <c r="B159" s="173"/>
      <c r="C159" s="23" t="s">
        <v>69</v>
      </c>
      <c r="D159" s="16" t="str">
        <f t="shared" ref="D159" si="61">C159</f>
        <v>MSFT</v>
      </c>
      <c r="E159" s="16">
        <f ca="1">E158</f>
        <v>409.05500000000001</v>
      </c>
      <c r="F159" s="16">
        <f ca="1">E159</f>
        <v>409.05500000000001</v>
      </c>
      <c r="G159" s="17">
        <f>G158</f>
        <v>5</v>
      </c>
      <c r="H159" s="16">
        <f t="shared" ca="1" si="58"/>
        <v>2045.2750000000001</v>
      </c>
      <c r="I159" s="13"/>
      <c r="J159" s="10">
        <f ca="1">H159-H158</f>
        <v>1679.7750000000001</v>
      </c>
      <c r="K159" s="7">
        <f ca="1">(H159/H158)-100%</f>
        <v>4.5958276333789332</v>
      </c>
      <c r="L159" s="83"/>
      <c r="M159" s="11"/>
    </row>
    <row r="160" spans="1:16" x14ac:dyDescent="0.35">
      <c r="A160" s="5">
        <v>1</v>
      </c>
      <c r="B160" s="146" t="s">
        <v>381</v>
      </c>
      <c r="C160" s="13" t="e" vm="22">
        <v>#VALUE!</v>
      </c>
      <c r="D160" s="13" t="e" vm="22">
        <f>C160</f>
        <v>#VALUE!</v>
      </c>
      <c r="E160" s="13" cm="1">
        <f t="array" aca="1" ref="E160" ca="1">_FV(D160,"Price")</f>
        <v>409.05500000000001</v>
      </c>
      <c r="F160" s="13">
        <v>396.9</v>
      </c>
      <c r="G160" s="14">
        <v>1</v>
      </c>
      <c r="H160" s="13">
        <f>F160*G160</f>
        <v>396.9</v>
      </c>
      <c r="I160" s="13" t="s">
        <v>5</v>
      </c>
      <c r="J160" s="10"/>
      <c r="K160" s="7"/>
      <c r="L160" s="83"/>
      <c r="M160" s="11"/>
      <c r="N160" s="5" t="s">
        <v>91</v>
      </c>
    </row>
    <row r="161" spans="1:15" x14ac:dyDescent="0.35">
      <c r="A161" s="5">
        <v>1</v>
      </c>
      <c r="B161" s="147"/>
      <c r="C161" s="15" t="s">
        <v>69</v>
      </c>
      <c r="D161" s="13" t="str">
        <f t="shared" ref="D161" si="62">C161</f>
        <v>MSFT</v>
      </c>
      <c r="E161" s="13">
        <f ca="1">E160</f>
        <v>409.05500000000001</v>
      </c>
      <c r="F161" s="13">
        <f ca="1">E161</f>
        <v>409.05500000000001</v>
      </c>
      <c r="G161" s="14">
        <f>G160</f>
        <v>1</v>
      </c>
      <c r="H161" s="13">
        <f ca="1">F161*G161</f>
        <v>409.05500000000001</v>
      </c>
      <c r="I161" s="13"/>
      <c r="J161" s="10">
        <f ca="1">H161-H160</f>
        <v>12.15500000000003</v>
      </c>
      <c r="K161" s="7">
        <f ca="1">(H161/H160)-100%</f>
        <v>3.0624842529604512E-2</v>
      </c>
      <c r="L161" s="83"/>
      <c r="M161" s="11"/>
    </row>
    <row r="162" spans="1:15" ht="14.65" customHeight="1" x14ac:dyDescent="0.35">
      <c r="B162" s="171" t="s">
        <v>92</v>
      </c>
      <c r="C162" s="63" t="e" vm="22">
        <v>#VALUE!</v>
      </c>
      <c r="D162" s="63" t="e" vm="22">
        <f>C162</f>
        <v>#VALUE!</v>
      </c>
      <c r="E162" s="63" cm="1">
        <f t="array" aca="1" ref="E162" ca="1">_FV(D162,"Price")</f>
        <v>409.05500000000001</v>
      </c>
      <c r="F162" s="63">
        <v>367.38</v>
      </c>
      <c r="G162" s="64">
        <v>16</v>
      </c>
      <c r="H162" s="63">
        <f t="shared" ref="H162:H163" si="63">F162*G162</f>
        <v>5878.08</v>
      </c>
      <c r="I162" s="63" t="s">
        <v>5</v>
      </c>
      <c r="J162" s="10"/>
      <c r="K162" s="7"/>
      <c r="L162" s="83"/>
      <c r="M162" s="11"/>
      <c r="N162" s="5" t="s">
        <v>93</v>
      </c>
    </row>
    <row r="163" spans="1:15" ht="32.65" customHeight="1" x14ac:dyDescent="0.35">
      <c r="B163" s="171"/>
      <c r="C163" s="63" t="s">
        <v>69</v>
      </c>
      <c r="D163" s="63" t="str">
        <f t="shared" ref="D163" si="64">C163</f>
        <v>MSFT</v>
      </c>
      <c r="E163" s="63">
        <f ca="1">E162</f>
        <v>409.05500000000001</v>
      </c>
      <c r="F163" s="63">
        <v>371.64</v>
      </c>
      <c r="G163" s="64">
        <f>G162</f>
        <v>16</v>
      </c>
      <c r="H163" s="63">
        <f t="shared" si="63"/>
        <v>5946.24</v>
      </c>
      <c r="I163" s="63"/>
      <c r="J163" s="10">
        <f>H163-H162</f>
        <v>68.159999999999854</v>
      </c>
      <c r="K163" s="7">
        <f>(H163/H162)-100%</f>
        <v>1.1595623060591143E-2</v>
      </c>
      <c r="L163" s="83"/>
      <c r="M163" s="11"/>
      <c r="N163" s="5" t="s">
        <v>94</v>
      </c>
    </row>
    <row r="164" spans="1:15" ht="14.65" customHeight="1" x14ac:dyDescent="0.35">
      <c r="A164" s="5">
        <v>1</v>
      </c>
      <c r="B164" s="141" t="s">
        <v>382</v>
      </c>
      <c r="C164" s="16" t="e" vm="22">
        <v>#VALUE!</v>
      </c>
      <c r="D164" s="16" t="e" vm="22">
        <f>C164</f>
        <v>#VALUE!</v>
      </c>
      <c r="E164" s="16" cm="1">
        <f t="array" aca="1" ref="E164" ca="1">_FV(D164,"Price")</f>
        <v>409.05500000000001</v>
      </c>
      <c r="F164" s="16">
        <v>396.9</v>
      </c>
      <c r="G164" s="17">
        <v>2</v>
      </c>
      <c r="H164" s="16">
        <f>F164*G164</f>
        <v>793.8</v>
      </c>
      <c r="I164" s="13" t="s">
        <v>5</v>
      </c>
      <c r="J164" s="10"/>
      <c r="K164" s="7"/>
      <c r="L164" s="83"/>
      <c r="M164" s="11"/>
      <c r="N164" s="5" t="s">
        <v>91</v>
      </c>
    </row>
    <row r="165" spans="1:15" x14ac:dyDescent="0.35">
      <c r="A165" s="5">
        <v>1</v>
      </c>
      <c r="B165" s="142"/>
      <c r="C165" s="23" t="s">
        <v>69</v>
      </c>
      <c r="D165" s="16" t="str">
        <f t="shared" ref="D165" si="65">C165</f>
        <v>MSFT</v>
      </c>
      <c r="E165" s="16">
        <f ca="1">E164</f>
        <v>409.05500000000001</v>
      </c>
      <c r="F165" s="16">
        <f ca="1">E165</f>
        <v>409.05500000000001</v>
      </c>
      <c r="G165" s="17">
        <f>G164</f>
        <v>2</v>
      </c>
      <c r="H165" s="16">
        <f ca="1">F165*G165</f>
        <v>818.11</v>
      </c>
      <c r="I165" s="13"/>
      <c r="J165" s="10">
        <f ca="1">H165-H164</f>
        <v>24.310000000000059</v>
      </c>
      <c r="K165" s="7">
        <f ca="1">(H165/H164)-100%</f>
        <v>3.0624842529604512E-2</v>
      </c>
      <c r="L165" s="83"/>
      <c r="M165" s="11"/>
    </row>
    <row r="166" spans="1:15" ht="14.65" customHeight="1" x14ac:dyDescent="0.35">
      <c r="B166" s="171" t="s">
        <v>92</v>
      </c>
      <c r="C166" s="63" t="e" vm="22">
        <v>#VALUE!</v>
      </c>
      <c r="D166" s="63" t="e" vm="22">
        <f>C166</f>
        <v>#VALUE!</v>
      </c>
      <c r="E166" s="63" cm="1">
        <f t="array" aca="1" ref="E166" ca="1">_FV(D166,"Price")</f>
        <v>409.05500000000001</v>
      </c>
      <c r="F166" s="63">
        <v>409.23</v>
      </c>
      <c r="G166" s="64">
        <v>11</v>
      </c>
      <c r="H166" s="63">
        <f t="shared" ref="H166:H167" si="66">F166*G166</f>
        <v>4501.5300000000007</v>
      </c>
      <c r="I166" s="63" t="s">
        <v>5</v>
      </c>
      <c r="J166" s="10"/>
      <c r="K166" s="7"/>
      <c r="L166" s="83"/>
      <c r="M166" s="11"/>
      <c r="N166" s="5" t="s">
        <v>95</v>
      </c>
    </row>
    <row r="167" spans="1:15" x14ac:dyDescent="0.35">
      <c r="B167" s="171"/>
      <c r="C167" s="63" t="s">
        <v>69</v>
      </c>
      <c r="D167" s="63" t="str">
        <f t="shared" ref="D167" si="67">C167</f>
        <v>MSFT</v>
      </c>
      <c r="E167" s="63">
        <f ca="1">E166</f>
        <v>409.05500000000001</v>
      </c>
      <c r="F167" s="63">
        <v>437.71</v>
      </c>
      <c r="G167" s="64">
        <f>G166</f>
        <v>11</v>
      </c>
      <c r="H167" s="63">
        <f t="shared" si="66"/>
        <v>4814.8099999999995</v>
      </c>
      <c r="I167" s="63"/>
      <c r="J167" s="10">
        <f>H167-H166</f>
        <v>313.27999999999884</v>
      </c>
      <c r="K167" s="7">
        <f>(H167/H166)-100%</f>
        <v>6.9594115778412791E-2</v>
      </c>
      <c r="L167" s="83"/>
      <c r="M167" s="11"/>
      <c r="N167" s="5" t="s">
        <v>93</v>
      </c>
      <c r="O167" s="5" t="s">
        <v>72</v>
      </c>
    </row>
    <row r="168" spans="1:15" x14ac:dyDescent="0.35">
      <c r="B168" s="143" t="s">
        <v>44</v>
      </c>
      <c r="C168" s="63" t="e" vm="22">
        <v>#VALUE!</v>
      </c>
      <c r="D168" s="63" t="e" vm="22">
        <f>C168</f>
        <v>#VALUE!</v>
      </c>
      <c r="E168" s="63" cm="1">
        <f t="array" aca="1" ref="E168" ca="1">_FV(D168,"Price")</f>
        <v>409.05500000000001</v>
      </c>
      <c r="F168" s="63">
        <v>415.82</v>
      </c>
      <c r="G168" s="64">
        <v>10</v>
      </c>
      <c r="H168" s="63">
        <f t="shared" ref="H168:H169" si="68">F168*G168</f>
        <v>4158.2</v>
      </c>
      <c r="I168" s="63" t="s">
        <v>5</v>
      </c>
      <c r="J168" s="45"/>
      <c r="K168" s="46"/>
      <c r="L168" s="83"/>
      <c r="M168" s="123"/>
      <c r="N168" s="5" t="s">
        <v>96</v>
      </c>
      <c r="O168" s="5" t="s">
        <v>97</v>
      </c>
    </row>
    <row r="169" spans="1:15" x14ac:dyDescent="0.35">
      <c r="B169" s="143"/>
      <c r="C169" s="63" t="s">
        <v>69</v>
      </c>
      <c r="D169" s="63" t="str">
        <f t="shared" ref="D169" si="69">C169</f>
        <v>MSFT</v>
      </c>
      <c r="E169" s="63">
        <f ca="1">E168</f>
        <v>409.05500000000001</v>
      </c>
      <c r="F169" s="63">
        <v>410.4</v>
      </c>
      <c r="G169" s="64">
        <f>G168</f>
        <v>10</v>
      </c>
      <c r="H169" s="63">
        <f t="shared" si="68"/>
        <v>4104</v>
      </c>
      <c r="I169" s="63"/>
      <c r="J169" s="45">
        <f>H169-H168</f>
        <v>-54.199999999999818</v>
      </c>
      <c r="K169" s="46">
        <f>(H169/H168)-100%</f>
        <v>-1.3034486075705787E-2</v>
      </c>
      <c r="L169" s="83"/>
      <c r="M169" s="123"/>
    </row>
    <row r="170" spans="1:15" ht="28.8" x14ac:dyDescent="0.35">
      <c r="A170" s="5">
        <v>1</v>
      </c>
      <c r="B170" s="61" t="s">
        <v>4</v>
      </c>
      <c r="C170" s="33" t="e" vm="24">
        <v>#VALUE!</v>
      </c>
      <c r="D170" s="33" t="e" vm="24">
        <f>C170</f>
        <v>#VALUE!</v>
      </c>
      <c r="E170" s="33" cm="1">
        <f t="array" aca="1" ref="E170" ca="1">_FV(D170,"Price")</f>
        <v>7.9625000000000004</v>
      </c>
      <c r="F170" s="34">
        <v>55.62</v>
      </c>
      <c r="G170" s="35">
        <v>120</v>
      </c>
      <c r="H170" s="33">
        <f t="shared" si="58"/>
        <v>6674.4</v>
      </c>
      <c r="I170" s="33" t="s">
        <v>5</v>
      </c>
      <c r="J170" s="10"/>
      <c r="K170" s="7"/>
      <c r="L170" s="83"/>
      <c r="M170" s="11"/>
    </row>
    <row r="171" spans="1:15" x14ac:dyDescent="0.35">
      <c r="A171" s="5">
        <v>1</v>
      </c>
      <c r="B171" s="97"/>
      <c r="C171" s="36" t="s">
        <v>98</v>
      </c>
      <c r="D171" s="33" t="str">
        <f t="shared" ref="D171" si="70">C171</f>
        <v>MARA</v>
      </c>
      <c r="E171" s="33">
        <f ca="1">E170</f>
        <v>7.9625000000000004</v>
      </c>
      <c r="F171" s="33">
        <f ca="1">E171</f>
        <v>7.9625000000000004</v>
      </c>
      <c r="G171" s="35">
        <f>G170</f>
        <v>120</v>
      </c>
      <c r="H171" s="33">
        <f t="shared" ca="1" si="58"/>
        <v>955.5</v>
      </c>
      <c r="I171" s="33"/>
      <c r="J171" s="10">
        <f ca="1">H171-H170</f>
        <v>-5718.9</v>
      </c>
      <c r="K171" s="7">
        <f ca="1">(H171/H170)-100%</f>
        <v>-0.85684106436533614</v>
      </c>
      <c r="L171" s="83"/>
      <c r="M171" s="11"/>
    </row>
    <row r="172" spans="1:15" s="60" customFormat="1" ht="43.2" x14ac:dyDescent="0.35">
      <c r="A172" s="5"/>
      <c r="B172" s="55" t="s">
        <v>17</v>
      </c>
      <c r="C172" s="56" t="e" vm="25">
        <v>#VALUE!</v>
      </c>
      <c r="D172" s="56" t="e" vm="25">
        <f>C172</f>
        <v>#VALUE!</v>
      </c>
      <c r="E172" s="56" cm="1">
        <f t="array" aca="1" ref="E172" ca="1">_FV(D172,"Price")</f>
        <v>177.64</v>
      </c>
      <c r="F172" s="57">
        <v>300.11</v>
      </c>
      <c r="G172" s="58">
        <v>14</v>
      </c>
      <c r="H172" s="56">
        <f t="shared" ref="H172:H175" si="71">F172*G172</f>
        <v>4201.54</v>
      </c>
      <c r="I172" s="56" t="s">
        <v>5</v>
      </c>
      <c r="J172" s="41"/>
      <c r="K172" s="42"/>
      <c r="L172" s="83"/>
      <c r="M172" s="125"/>
      <c r="N172" s="59" t="s">
        <v>99</v>
      </c>
      <c r="O172" s="59" t="s">
        <v>100</v>
      </c>
    </row>
    <row r="173" spans="1:15" s="60" customFormat="1" x14ac:dyDescent="0.35">
      <c r="A173" s="5"/>
      <c r="B173" s="61"/>
      <c r="C173" s="62" t="s">
        <v>101</v>
      </c>
      <c r="D173" s="56" t="str">
        <f t="shared" ref="D173" si="72">C173</f>
        <v>NVDA</v>
      </c>
      <c r="E173" s="56">
        <f ca="1">E172</f>
        <v>177.64</v>
      </c>
      <c r="F173" s="56">
        <v>875.44</v>
      </c>
      <c r="G173" s="58">
        <f>G172</f>
        <v>14</v>
      </c>
      <c r="H173" s="56">
        <f t="shared" si="71"/>
        <v>12256.16</v>
      </c>
      <c r="I173" s="56"/>
      <c r="J173" s="41">
        <f>H173-H172</f>
        <v>8054.62</v>
      </c>
      <c r="K173" s="42">
        <f>(H173/H172)-100%</f>
        <v>1.9170637432941255</v>
      </c>
      <c r="L173" s="83"/>
      <c r="M173" s="125"/>
    </row>
    <row r="174" spans="1:15" ht="32.65" customHeight="1" x14ac:dyDescent="0.35">
      <c r="B174" s="183" t="s">
        <v>102</v>
      </c>
      <c r="C174" s="63" t="e" vm="11">
        <v>#VALUE!</v>
      </c>
      <c r="D174" s="63" t="e" vm="11">
        <v>#VALUE!</v>
      </c>
      <c r="E174" s="63" cm="1">
        <f t="array" aca="1" ref="E174" ca="1">_FV(D174,"Price")</f>
        <v>396.80220000000003</v>
      </c>
      <c r="F174" s="63">
        <v>281.72000000000003</v>
      </c>
      <c r="G174" s="64">
        <v>14</v>
      </c>
      <c r="H174" s="63">
        <f t="shared" si="71"/>
        <v>3944.0800000000004</v>
      </c>
      <c r="I174" s="63" t="s">
        <v>5</v>
      </c>
      <c r="J174" s="10"/>
      <c r="K174" s="7"/>
      <c r="L174" s="83"/>
      <c r="M174" s="11"/>
      <c r="N174" s="5" t="s">
        <v>103</v>
      </c>
    </row>
    <row r="175" spans="1:15" x14ac:dyDescent="0.35">
      <c r="B175" s="184"/>
      <c r="C175" s="63" t="s">
        <v>37</v>
      </c>
      <c r="D175" s="63" t="str">
        <f t="shared" ref="D175:D181" si="73">C175</f>
        <v>TSLA</v>
      </c>
      <c r="E175" s="63">
        <f ca="1">E174</f>
        <v>396.80220000000003</v>
      </c>
      <c r="F175" s="63">
        <f ca="1">E175</f>
        <v>396.80220000000003</v>
      </c>
      <c r="G175" s="64">
        <f>G174</f>
        <v>14</v>
      </c>
      <c r="H175" s="63">
        <f t="shared" ca="1" si="71"/>
        <v>5555.2308000000003</v>
      </c>
      <c r="I175" s="63"/>
      <c r="J175" s="10">
        <f ca="1">H175-H174</f>
        <v>1611.1507999999999</v>
      </c>
      <c r="K175" s="7">
        <f ca="1">(H175/H174)-100%</f>
        <v>0.4084985091580291</v>
      </c>
      <c r="L175" s="83"/>
      <c r="M175" s="11"/>
    </row>
    <row r="176" spans="1:15" x14ac:dyDescent="0.35">
      <c r="B176" s="182" t="s">
        <v>104</v>
      </c>
      <c r="C176" s="43" t="e" vm="26">
        <v>#VALUE!</v>
      </c>
      <c r="D176" s="43" t="e" vm="26">
        <f t="shared" si="73"/>
        <v>#VALUE!</v>
      </c>
      <c r="E176" s="43" cm="1">
        <f t="array" aca="1" ref="E176" ca="1">_FV(D176,"Price")</f>
        <v>73.34</v>
      </c>
      <c r="F176" s="43">
        <v>47.61</v>
      </c>
      <c r="G176" s="44">
        <v>63</v>
      </c>
      <c r="H176" s="43">
        <f t="shared" ref="H176:H177" si="74">F176*G176</f>
        <v>2999.43</v>
      </c>
      <c r="I176" s="43" t="s">
        <v>5</v>
      </c>
      <c r="J176" s="45"/>
      <c r="K176" s="46"/>
      <c r="L176" s="83"/>
      <c r="M176" s="123"/>
      <c r="N176" s="5" t="s">
        <v>105</v>
      </c>
      <c r="O176" s="5" t="s">
        <v>106</v>
      </c>
    </row>
    <row r="177" spans="1:15" x14ac:dyDescent="0.35">
      <c r="B177" s="182"/>
      <c r="C177" s="43" t="s">
        <v>107</v>
      </c>
      <c r="D177" s="43" t="str">
        <f t="shared" si="73"/>
        <v>ENBRIDGE</v>
      </c>
      <c r="E177" s="43">
        <f ca="1">E176</f>
        <v>73.34</v>
      </c>
      <c r="F177" s="43">
        <v>49.01</v>
      </c>
      <c r="G177" s="44">
        <f>G176</f>
        <v>63</v>
      </c>
      <c r="H177" s="43">
        <f t="shared" si="74"/>
        <v>3087.6299999999997</v>
      </c>
      <c r="I177" s="43"/>
      <c r="J177" s="45">
        <f>H177-H176</f>
        <v>88.199999999999818</v>
      </c>
      <c r="K177" s="46">
        <f>(H177/H176)-100%</f>
        <v>2.9405587061541727E-2</v>
      </c>
      <c r="L177" s="83"/>
      <c r="M177" s="123"/>
    </row>
    <row r="178" spans="1:15" x14ac:dyDescent="0.35">
      <c r="B178" s="185" t="s">
        <v>108</v>
      </c>
      <c r="C178" s="39" t="e" vm="26">
        <v>#VALUE!</v>
      </c>
      <c r="D178" s="39" t="e" vm="26">
        <f t="shared" si="73"/>
        <v>#VALUE!</v>
      </c>
      <c r="E178" s="39" cm="1">
        <f t="array" aca="1" ref="E178" ca="1">_FV(D178,"Price")</f>
        <v>73.34</v>
      </c>
      <c r="F178" s="39">
        <v>47.82</v>
      </c>
      <c r="G178" s="40">
        <v>42</v>
      </c>
      <c r="H178" s="39">
        <f t="shared" ref="H178:H179" si="75">F178*G178</f>
        <v>2008.44</v>
      </c>
      <c r="I178" s="39" t="s">
        <v>5</v>
      </c>
      <c r="J178" s="41"/>
      <c r="K178" s="42"/>
      <c r="L178" s="83"/>
      <c r="M178" s="125"/>
      <c r="N178" s="5" t="s">
        <v>109</v>
      </c>
      <c r="O178" s="5" t="s">
        <v>106</v>
      </c>
    </row>
    <row r="179" spans="1:15" x14ac:dyDescent="0.35">
      <c r="B179" s="185"/>
      <c r="C179" s="39" t="s">
        <v>107</v>
      </c>
      <c r="D179" s="39" t="str">
        <f t="shared" si="73"/>
        <v>ENBRIDGE</v>
      </c>
      <c r="E179" s="39">
        <f ca="1">E178</f>
        <v>73.34</v>
      </c>
      <c r="F179" s="39">
        <v>49</v>
      </c>
      <c r="G179" s="40">
        <f>G178</f>
        <v>42</v>
      </c>
      <c r="H179" s="39">
        <f t="shared" si="75"/>
        <v>2058</v>
      </c>
      <c r="I179" s="39"/>
      <c r="J179" s="41">
        <f>H179-H178</f>
        <v>49.559999999999945</v>
      </c>
      <c r="K179" s="42">
        <f>(H179/H178)-100%</f>
        <v>2.4675867837724796E-2</v>
      </c>
      <c r="L179" s="83"/>
      <c r="M179" s="125"/>
    </row>
    <row r="180" spans="1:15" ht="14.65" customHeight="1" x14ac:dyDescent="0.35">
      <c r="B180" s="179" t="s">
        <v>104</v>
      </c>
      <c r="C180" s="47" t="s">
        <v>110</v>
      </c>
      <c r="D180" s="47" t="str">
        <f t="shared" si="73"/>
        <v>(XTSE:REI.TO)</v>
      </c>
      <c r="E180" s="47">
        <v>18.66</v>
      </c>
      <c r="F180" s="47">
        <v>18.170000000000002</v>
      </c>
      <c r="G180" s="48">
        <v>110</v>
      </c>
      <c r="H180" s="47">
        <f t="shared" ref="H180:H193" si="76">F180*G180</f>
        <v>1998.7000000000003</v>
      </c>
      <c r="I180" s="47" t="s">
        <v>5</v>
      </c>
      <c r="J180" s="45"/>
      <c r="K180" s="46"/>
      <c r="L180" s="83"/>
      <c r="M180" s="123"/>
      <c r="N180" s="5" t="s">
        <v>105</v>
      </c>
    </row>
    <row r="181" spans="1:15" x14ac:dyDescent="0.35">
      <c r="B181" s="179"/>
      <c r="C181" s="47" t="s">
        <v>111</v>
      </c>
      <c r="D181" s="47" t="str">
        <f t="shared" si="73"/>
        <v>REI-UN.TO</v>
      </c>
      <c r="E181" s="47">
        <f>E180</f>
        <v>18.66</v>
      </c>
      <c r="F181" s="47">
        <v>18.670000000000002</v>
      </c>
      <c r="G181" s="48">
        <f>G180</f>
        <v>110</v>
      </c>
      <c r="H181" s="47">
        <f t="shared" si="76"/>
        <v>2053.7000000000003</v>
      </c>
      <c r="I181" s="47"/>
      <c r="J181" s="45">
        <f>H181-H180</f>
        <v>55</v>
      </c>
      <c r="K181" s="46">
        <f>(H181/H180)-100%</f>
        <v>2.7517886626307053E-2</v>
      </c>
      <c r="L181" s="83"/>
      <c r="M181" s="123"/>
    </row>
    <row r="182" spans="1:15" x14ac:dyDescent="0.35">
      <c r="B182" s="190" t="s">
        <v>112</v>
      </c>
      <c r="C182" s="49" t="e" vm="27">
        <v>#VALUE!</v>
      </c>
      <c r="D182" s="49" t="e" vm="27">
        <f t="shared" ref="D182:D183" si="77">C182</f>
        <v>#VALUE!</v>
      </c>
      <c r="E182" s="49" cm="1">
        <f t="array" aca="1" ref="E182" ca="1">_FV(D182,"Price")</f>
        <v>97.66</v>
      </c>
      <c r="F182" s="49">
        <v>63.19</v>
      </c>
      <c r="G182" s="50">
        <v>36</v>
      </c>
      <c r="H182" s="49">
        <f t="shared" si="76"/>
        <v>2274.84</v>
      </c>
      <c r="I182" s="49" t="s">
        <v>5</v>
      </c>
      <c r="J182" s="41"/>
      <c r="K182" s="42"/>
      <c r="L182" s="83"/>
      <c r="M182" s="125"/>
      <c r="N182" s="5" t="s">
        <v>113</v>
      </c>
      <c r="O182" s="5" t="s">
        <v>106</v>
      </c>
    </row>
    <row r="183" spans="1:15" ht="19.5" customHeight="1" x14ac:dyDescent="0.35">
      <c r="B183" s="190"/>
      <c r="C183" s="49" t="s">
        <v>114</v>
      </c>
      <c r="D183" s="49" t="str">
        <f t="shared" si="77"/>
        <v>ScotiaBank</v>
      </c>
      <c r="E183" s="49">
        <f ca="1">E182</f>
        <v>97.66</v>
      </c>
      <c r="F183" s="49">
        <v>63.38</v>
      </c>
      <c r="G183" s="50">
        <f>G182</f>
        <v>36</v>
      </c>
      <c r="H183" s="49">
        <f t="shared" si="76"/>
        <v>2281.6800000000003</v>
      </c>
      <c r="I183" s="49"/>
      <c r="J183" s="41">
        <f>H183-H182</f>
        <v>6.8400000000001455</v>
      </c>
      <c r="K183" s="42">
        <f>(H183/H182)-100%</f>
        <v>3.0068048741889175E-3</v>
      </c>
      <c r="L183" s="83"/>
      <c r="M183" s="125"/>
    </row>
    <row r="184" spans="1:15" ht="19.5" customHeight="1" x14ac:dyDescent="0.35">
      <c r="B184" s="138" t="s">
        <v>40</v>
      </c>
      <c r="C184" s="63" t="e" vm="11">
        <v>#VALUE!</v>
      </c>
      <c r="D184" s="63" t="e" vm="11">
        <v>#VALUE!</v>
      </c>
      <c r="E184" s="63" cm="1">
        <f t="array" aca="1" ref="E184" ca="1">_FV(D184,"Price")</f>
        <v>396.80220000000003</v>
      </c>
      <c r="F184" s="63">
        <v>281.72000000000003</v>
      </c>
      <c r="G184" s="64">
        <v>13</v>
      </c>
      <c r="H184" s="63">
        <f t="shared" si="76"/>
        <v>3662.3600000000006</v>
      </c>
      <c r="I184" s="63" t="s">
        <v>5</v>
      </c>
      <c r="J184" s="10"/>
      <c r="K184" s="7"/>
      <c r="L184" s="83"/>
      <c r="M184" s="11"/>
      <c r="N184" s="5" t="s">
        <v>103</v>
      </c>
    </row>
    <row r="185" spans="1:15" ht="19.5" customHeight="1" x14ac:dyDescent="0.35">
      <c r="B185" s="191"/>
      <c r="C185" s="63" t="s">
        <v>37</v>
      </c>
      <c r="D185" s="63" t="str">
        <f t="shared" ref="D185" si="78">C185</f>
        <v>TSLA</v>
      </c>
      <c r="E185" s="63">
        <f ca="1">E184</f>
        <v>396.80220000000003</v>
      </c>
      <c r="F185" s="63">
        <v>282</v>
      </c>
      <c r="G185" s="64">
        <f>G184</f>
        <v>13</v>
      </c>
      <c r="H185" s="63">
        <f t="shared" si="76"/>
        <v>3666</v>
      </c>
      <c r="I185" s="63"/>
      <c r="J185" s="10">
        <f>H185-H184</f>
        <v>3.6399999999994179</v>
      </c>
      <c r="K185" s="7">
        <f>(H185/H184)-100%</f>
        <v>9.9389464716725939E-4</v>
      </c>
      <c r="L185" s="83"/>
      <c r="M185" s="11"/>
      <c r="N185" s="5" t="s">
        <v>115</v>
      </c>
    </row>
    <row r="186" spans="1:15" ht="19.5" customHeight="1" x14ac:dyDescent="0.35">
      <c r="B186" s="138" t="s">
        <v>40</v>
      </c>
      <c r="C186" s="63" t="e" vm="11">
        <v>#VALUE!</v>
      </c>
      <c r="D186" s="63" t="e" vm="11">
        <v>#VALUE!</v>
      </c>
      <c r="E186" s="63" cm="1">
        <f t="array" aca="1" ref="E186" ca="1">_FV(D186,"Price")</f>
        <v>396.80220000000003</v>
      </c>
      <c r="F186" s="63">
        <v>281.72000000000003</v>
      </c>
      <c r="G186" s="64">
        <v>14</v>
      </c>
      <c r="H186" s="63">
        <f t="shared" si="76"/>
        <v>3944.0800000000004</v>
      </c>
      <c r="I186" s="63" t="s">
        <v>5</v>
      </c>
      <c r="J186" s="10"/>
      <c r="K186" s="7"/>
      <c r="L186" s="83"/>
      <c r="M186" s="11"/>
      <c r="N186" s="5" t="s">
        <v>116</v>
      </c>
    </row>
    <row r="187" spans="1:15" ht="19.5" customHeight="1" x14ac:dyDescent="0.35">
      <c r="B187" s="191"/>
      <c r="C187" s="63" t="s">
        <v>37</v>
      </c>
      <c r="D187" s="63" t="str">
        <f t="shared" ref="D187" si="79">C187</f>
        <v>TSLA</v>
      </c>
      <c r="E187" s="63">
        <f ca="1">E186</f>
        <v>396.80220000000003</v>
      </c>
      <c r="F187" s="63">
        <v>282</v>
      </c>
      <c r="G187" s="64">
        <f>G186</f>
        <v>14</v>
      </c>
      <c r="H187" s="63">
        <f t="shared" si="76"/>
        <v>3948</v>
      </c>
      <c r="I187" s="63"/>
      <c r="J187" s="10">
        <f>H187-H186</f>
        <v>3.919999999999618</v>
      </c>
      <c r="K187" s="7">
        <f>(H187/H186)-100%</f>
        <v>9.9389464716725939E-4</v>
      </c>
      <c r="L187" s="83"/>
      <c r="M187" s="11"/>
      <c r="N187" s="5" t="s">
        <v>115</v>
      </c>
    </row>
    <row r="188" spans="1:15" ht="11.3" customHeight="1" x14ac:dyDescent="0.35">
      <c r="A188" s="5">
        <v>1</v>
      </c>
      <c r="B188" s="135" t="s">
        <v>386</v>
      </c>
      <c r="C188" s="16" t="e" vm="11">
        <v>#VALUE!</v>
      </c>
      <c r="D188" s="16" t="e" vm="11">
        <v>#VALUE!</v>
      </c>
      <c r="E188" s="16" cm="1">
        <f t="array" aca="1" ref="E188" ca="1">_FV(D188,"Price")</f>
        <v>396.80220000000003</v>
      </c>
      <c r="F188" s="16">
        <v>182.58</v>
      </c>
      <c r="G188" s="17">
        <v>6</v>
      </c>
      <c r="H188" s="16">
        <f t="shared" ref="H188:H189" si="80">F188*G188</f>
        <v>1095.48</v>
      </c>
      <c r="I188" s="16" t="s">
        <v>5</v>
      </c>
      <c r="J188" s="10"/>
      <c r="K188" s="7"/>
      <c r="L188" s="83"/>
      <c r="M188" s="11"/>
      <c r="N188" s="5" t="s">
        <v>117</v>
      </c>
    </row>
    <row r="189" spans="1:15" ht="40.5" customHeight="1" x14ac:dyDescent="0.35">
      <c r="A189" s="5">
        <v>1</v>
      </c>
      <c r="B189" s="136"/>
      <c r="C189" s="16" t="s">
        <v>37</v>
      </c>
      <c r="D189" s="16" t="str">
        <f t="shared" ref="D189" si="81">C189</f>
        <v>TSLA</v>
      </c>
      <c r="E189" s="16">
        <f ca="1">E188</f>
        <v>396.80220000000003</v>
      </c>
      <c r="F189" s="16">
        <f ca="1">E189</f>
        <v>396.80220000000003</v>
      </c>
      <c r="G189" s="17">
        <f>G188</f>
        <v>6</v>
      </c>
      <c r="H189" s="16">
        <f t="shared" ca="1" si="80"/>
        <v>2380.8132000000001</v>
      </c>
      <c r="I189" s="16"/>
      <c r="J189" s="10">
        <f ca="1">H189-H188</f>
        <v>1285.3332</v>
      </c>
      <c r="K189" s="7">
        <f ca="1">(H189/H188)-100%</f>
        <v>1.1733059480775552</v>
      </c>
      <c r="L189" s="83"/>
      <c r="M189" s="11"/>
    </row>
    <row r="190" spans="1:15" ht="13.55" customHeight="1" x14ac:dyDescent="0.35">
      <c r="A190" s="5">
        <v>1</v>
      </c>
      <c r="B190" s="141" t="s">
        <v>382</v>
      </c>
      <c r="C190" s="20" t="e" vm="11">
        <v>#VALUE!</v>
      </c>
      <c r="D190" s="20" t="e" vm="11">
        <v>#VALUE!</v>
      </c>
      <c r="E190" s="20" cm="1">
        <f t="array" aca="1" ref="E190" ca="1">_FV(D190,"Price")</f>
        <v>396.80220000000003</v>
      </c>
      <c r="F190" s="20">
        <v>157.19</v>
      </c>
      <c r="G190" s="21">
        <v>1</v>
      </c>
      <c r="H190" s="20">
        <f>F190*G190</f>
        <v>157.19</v>
      </c>
      <c r="I190" s="20" t="s">
        <v>5</v>
      </c>
      <c r="J190" s="10"/>
      <c r="K190" s="7"/>
      <c r="L190" s="83"/>
      <c r="M190" s="11"/>
      <c r="N190" s="5" t="s">
        <v>117</v>
      </c>
    </row>
    <row r="191" spans="1:15" ht="36.65" customHeight="1" x14ac:dyDescent="0.35">
      <c r="A191" s="5">
        <v>1</v>
      </c>
      <c r="B191" s="142"/>
      <c r="C191" s="20" t="s">
        <v>37</v>
      </c>
      <c r="D191" s="20" t="str">
        <f t="shared" ref="D191" si="82">C191</f>
        <v>TSLA</v>
      </c>
      <c r="E191" s="20">
        <f ca="1">E190</f>
        <v>396.80220000000003</v>
      </c>
      <c r="F191" s="20">
        <f ca="1">E191</f>
        <v>396.80220000000003</v>
      </c>
      <c r="G191" s="21">
        <f>G190</f>
        <v>1</v>
      </c>
      <c r="H191" s="20">
        <f ca="1">F191*G191</f>
        <v>396.80220000000003</v>
      </c>
      <c r="I191" s="20"/>
      <c r="J191" s="10">
        <f ca="1">H191-H190</f>
        <v>239.61220000000003</v>
      </c>
      <c r="K191" s="7">
        <f ca="1">(H191/H190)-100%</f>
        <v>1.5243476048094666</v>
      </c>
      <c r="L191" s="83"/>
      <c r="M191" s="11"/>
    </row>
    <row r="192" spans="1:15" x14ac:dyDescent="0.35">
      <c r="B192" s="143" t="s">
        <v>32</v>
      </c>
      <c r="C192" s="63" t="e" vm="11">
        <v>#VALUE!</v>
      </c>
      <c r="D192" s="63" t="e" vm="11">
        <v>#VALUE!</v>
      </c>
      <c r="E192" s="63" cm="1">
        <f t="array" aca="1" ref="E192" ca="1">_FV(D192,"Price")</f>
        <v>396.80220000000003</v>
      </c>
      <c r="F192" s="63">
        <v>281.72000000000003</v>
      </c>
      <c r="G192" s="64">
        <v>96</v>
      </c>
      <c r="H192" s="63">
        <f t="shared" si="76"/>
        <v>27045.120000000003</v>
      </c>
      <c r="I192" s="63" t="s">
        <v>5</v>
      </c>
      <c r="J192" s="10"/>
      <c r="K192" s="7"/>
      <c r="L192" s="83"/>
      <c r="M192" s="11"/>
    </row>
    <row r="193" spans="1:15" x14ac:dyDescent="0.35">
      <c r="B193" s="143"/>
      <c r="C193" s="63" t="s">
        <v>37</v>
      </c>
      <c r="D193" s="63" t="str">
        <f t="shared" ref="D193" si="83">C193</f>
        <v>TSLA</v>
      </c>
      <c r="E193" s="63">
        <f ca="1">E192</f>
        <v>396.80220000000003</v>
      </c>
      <c r="F193" s="63">
        <v>282.24</v>
      </c>
      <c r="G193" s="64">
        <f>G192</f>
        <v>96</v>
      </c>
      <c r="H193" s="63">
        <f t="shared" si="76"/>
        <v>27095.040000000001</v>
      </c>
      <c r="I193" s="63"/>
      <c r="J193" s="10">
        <f>H193-H192</f>
        <v>49.919999999998254</v>
      </c>
      <c r="K193" s="7">
        <f>(H193/H192)-100%</f>
        <v>1.8458043447393546E-3</v>
      </c>
      <c r="L193" s="83"/>
      <c r="M193" s="11"/>
      <c r="N193" s="5" t="s">
        <v>43</v>
      </c>
    </row>
    <row r="194" spans="1:15" ht="14.65" customHeight="1" x14ac:dyDescent="0.35">
      <c r="B194" s="154" t="s">
        <v>108</v>
      </c>
      <c r="C194" s="47" t="e" vm="28">
        <v>#VALUE!</v>
      </c>
      <c r="D194" s="47" t="e" vm="28">
        <v>#VALUE!</v>
      </c>
      <c r="E194" s="47" cm="1">
        <f t="array" aca="1" ref="E194" ca="1">_FV(D194,"Price")</f>
        <v>221.63</v>
      </c>
      <c r="F194" s="47">
        <v>127.49</v>
      </c>
      <c r="G194" s="48">
        <v>4</v>
      </c>
      <c r="H194" s="47">
        <f>F194*G194</f>
        <v>509.96</v>
      </c>
      <c r="I194" s="47" t="s">
        <v>5</v>
      </c>
      <c r="J194" s="10"/>
      <c r="K194" s="7"/>
      <c r="L194" s="83"/>
      <c r="M194" s="11"/>
    </row>
    <row r="195" spans="1:15" ht="28.8" x14ac:dyDescent="0.35">
      <c r="B195" s="154"/>
      <c r="C195" s="47" t="s">
        <v>118</v>
      </c>
      <c r="D195" s="47" t="str">
        <f>C195</f>
        <v>RBC</v>
      </c>
      <c r="E195" s="47">
        <f ca="1">E194</f>
        <v>221.63</v>
      </c>
      <c r="F195" s="47">
        <v>234.58</v>
      </c>
      <c r="G195" s="48">
        <f>G194</f>
        <v>4</v>
      </c>
      <c r="H195" s="47">
        <f>F195*G195</f>
        <v>938.32</v>
      </c>
      <c r="I195" s="47"/>
      <c r="J195" s="10">
        <f>H195-H194</f>
        <v>428.36000000000007</v>
      </c>
      <c r="K195" s="7">
        <f>(H195/H194)-100%</f>
        <v>0.83998744999607822</v>
      </c>
      <c r="L195" s="83"/>
      <c r="M195" s="11"/>
      <c r="N195" s="5" t="s">
        <v>368</v>
      </c>
      <c r="O195" s="6" t="s">
        <v>367</v>
      </c>
    </row>
    <row r="196" spans="1:15" ht="29.3" customHeight="1" x14ac:dyDescent="0.35">
      <c r="B196" s="159" t="s">
        <v>29</v>
      </c>
      <c r="C196" s="63" t="e" vm="11">
        <v>#VALUE!</v>
      </c>
      <c r="D196" s="63" t="e" vm="11">
        <v>#VALUE!</v>
      </c>
      <c r="E196" s="63" cm="1">
        <f t="array" aca="1" ref="E196" ca="1">_FV(D196,"Price")</f>
        <v>396.80220000000003</v>
      </c>
      <c r="F196" s="63">
        <v>241.39</v>
      </c>
      <c r="G196" s="64">
        <v>30</v>
      </c>
      <c r="H196" s="63">
        <f t="shared" ref="H196:H197" si="84">F196*G196</f>
        <v>7241.7</v>
      </c>
      <c r="I196" s="63" t="s">
        <v>5</v>
      </c>
      <c r="J196" s="45"/>
      <c r="K196" s="46"/>
      <c r="L196" s="83"/>
      <c r="M196" s="123"/>
      <c r="N196" s="51" t="s">
        <v>119</v>
      </c>
    </row>
    <row r="197" spans="1:15" x14ac:dyDescent="0.35">
      <c r="B197" s="159"/>
      <c r="C197" s="63" t="s">
        <v>37</v>
      </c>
      <c r="D197" s="63" t="str">
        <f t="shared" ref="D197" si="85">C197</f>
        <v>TSLA</v>
      </c>
      <c r="E197" s="63">
        <f ca="1">E196</f>
        <v>396.80220000000003</v>
      </c>
      <c r="F197" s="63">
        <v>242.26</v>
      </c>
      <c r="G197" s="64">
        <f>G196</f>
        <v>30</v>
      </c>
      <c r="H197" s="63">
        <f t="shared" si="84"/>
        <v>7267.7999999999993</v>
      </c>
      <c r="I197" s="63"/>
      <c r="J197" s="45">
        <f>H197-H196</f>
        <v>26.099999999999454</v>
      </c>
      <c r="K197" s="46">
        <f>(H197/H196)-100%</f>
        <v>3.6041261029868821E-3</v>
      </c>
      <c r="L197" s="83"/>
      <c r="M197" s="123"/>
    </row>
    <row r="198" spans="1:15" ht="14.65" customHeight="1" x14ac:dyDescent="0.35">
      <c r="B198" s="159" t="s">
        <v>104</v>
      </c>
      <c r="C198" s="63" t="e" vm="29">
        <v>#VALUE!</v>
      </c>
      <c r="D198" s="63" t="e" vm="29">
        <f t="shared" ref="D198:D204" si="86">C198</f>
        <v>#VALUE!</v>
      </c>
      <c r="E198" s="63" cm="1">
        <f t="array" aca="1" ref="E198" ca="1">_FV(D198,"Price")</f>
        <v>178.07</v>
      </c>
      <c r="F198" s="63">
        <v>99.87</v>
      </c>
      <c r="G198" s="64">
        <v>26</v>
      </c>
      <c r="H198" s="63">
        <f t="shared" ref="H198:H203" si="87">F198*G198</f>
        <v>2596.62</v>
      </c>
      <c r="I198" s="63" t="s">
        <v>5</v>
      </c>
      <c r="J198" s="45"/>
      <c r="K198" s="46"/>
      <c r="L198" s="83"/>
      <c r="M198" s="123"/>
      <c r="N198" s="51" t="s">
        <v>120</v>
      </c>
    </row>
    <row r="199" spans="1:15" x14ac:dyDescent="0.35">
      <c r="B199" s="159"/>
      <c r="C199" s="63" t="s">
        <v>121</v>
      </c>
      <c r="D199" s="63" t="str">
        <f t="shared" si="86"/>
        <v>SHOPIFY</v>
      </c>
      <c r="E199" s="63">
        <f ca="1">E198</f>
        <v>178.07</v>
      </c>
      <c r="F199" s="63">
        <v>98.99</v>
      </c>
      <c r="G199" s="64">
        <f>G198</f>
        <v>26</v>
      </c>
      <c r="H199" s="63">
        <f t="shared" si="87"/>
        <v>2573.7399999999998</v>
      </c>
      <c r="I199" s="63"/>
      <c r="J199" s="45">
        <f>H199-H198</f>
        <v>-22.880000000000109</v>
      </c>
      <c r="K199" s="46">
        <f>(H199/H198)-100%</f>
        <v>-8.8114548913588164E-3</v>
      </c>
      <c r="L199" s="83"/>
      <c r="M199" s="123"/>
      <c r="N199" s="53"/>
    </row>
    <row r="200" spans="1:15" ht="14.65" customHeight="1" x14ac:dyDescent="0.35">
      <c r="B200" s="159" t="s">
        <v>108</v>
      </c>
      <c r="C200" s="63" t="e" vm="29">
        <v>#VALUE!</v>
      </c>
      <c r="D200" s="63" t="e" vm="29">
        <f t="shared" si="86"/>
        <v>#VALUE!</v>
      </c>
      <c r="E200" s="63" cm="1">
        <f t="array" aca="1" ref="E200" ca="1">_FV(D200,"Price")</f>
        <v>178.07</v>
      </c>
      <c r="F200" s="63">
        <v>96.57</v>
      </c>
      <c r="G200" s="64">
        <v>21</v>
      </c>
      <c r="H200" s="63">
        <f t="shared" si="87"/>
        <v>2027.9699999999998</v>
      </c>
      <c r="I200" s="63" t="s">
        <v>5</v>
      </c>
      <c r="J200" s="45"/>
      <c r="K200" s="46"/>
      <c r="L200" s="83"/>
      <c r="M200" s="123"/>
      <c r="N200" s="51" t="s">
        <v>120</v>
      </c>
    </row>
    <row r="201" spans="1:15" x14ac:dyDescent="0.35">
      <c r="B201" s="159"/>
      <c r="C201" s="63" t="s">
        <v>121</v>
      </c>
      <c r="D201" s="63" t="str">
        <f t="shared" si="86"/>
        <v>SHOPIFY</v>
      </c>
      <c r="E201" s="63">
        <f ca="1">E200</f>
        <v>178.07</v>
      </c>
      <c r="F201" s="63">
        <v>98.95</v>
      </c>
      <c r="G201" s="64">
        <f>G200</f>
        <v>21</v>
      </c>
      <c r="H201" s="63">
        <f t="shared" si="87"/>
        <v>2077.9500000000003</v>
      </c>
      <c r="I201" s="63"/>
      <c r="J201" s="45">
        <f>H201-H200</f>
        <v>49.980000000000473</v>
      </c>
      <c r="K201" s="46">
        <f>(H201/H200)-100%</f>
        <v>2.4645334990162748E-2</v>
      </c>
      <c r="L201" s="83"/>
      <c r="M201" s="123"/>
    </row>
    <row r="202" spans="1:15" ht="11.3" customHeight="1" x14ac:dyDescent="0.35">
      <c r="B202" s="158" t="s">
        <v>29</v>
      </c>
      <c r="C202" s="47" t="e" vm="30">
        <v>#VALUE!</v>
      </c>
      <c r="D202" s="47" t="e" vm="30">
        <f t="shared" si="86"/>
        <v>#VALUE!</v>
      </c>
      <c r="E202" s="47" cm="1">
        <f t="array" aca="1" ref="E202" ca="1">_FV(D202,"Price")</f>
        <v>192.33</v>
      </c>
      <c r="F202" s="47">
        <v>198.35</v>
      </c>
      <c r="G202" s="48">
        <v>29</v>
      </c>
      <c r="H202" s="47">
        <f t="shared" si="87"/>
        <v>5752.15</v>
      </c>
      <c r="I202" s="47" t="s">
        <v>5</v>
      </c>
      <c r="J202" s="10"/>
      <c r="K202" s="7"/>
      <c r="L202" s="83"/>
      <c r="M202" s="11"/>
    </row>
    <row r="203" spans="1:15" x14ac:dyDescent="0.35">
      <c r="B203" s="158"/>
      <c r="C203" s="47" t="s">
        <v>123</v>
      </c>
      <c r="D203" s="47" t="str">
        <f t="shared" si="86"/>
        <v>AMD</v>
      </c>
      <c r="E203" s="47">
        <f ca="1">E202</f>
        <v>192.33</v>
      </c>
      <c r="F203" s="47">
        <v>236.05</v>
      </c>
      <c r="G203" s="48">
        <f>G202</f>
        <v>29</v>
      </c>
      <c r="H203" s="47">
        <f t="shared" si="87"/>
        <v>6845.4500000000007</v>
      </c>
      <c r="I203" s="47"/>
      <c r="J203" s="10">
        <f>H203-H202</f>
        <v>1093.3000000000011</v>
      </c>
      <c r="K203" s="7">
        <f>(H203/H202)-100%</f>
        <v>0.1900680615074366</v>
      </c>
      <c r="L203" s="83"/>
      <c r="M203" s="11"/>
      <c r="N203" s="5" t="s">
        <v>122</v>
      </c>
      <c r="O203" s="5" t="s">
        <v>397</v>
      </c>
    </row>
    <row r="204" spans="1:15" s="53" customFormat="1" ht="43.2" x14ac:dyDescent="0.35">
      <c r="A204" s="5"/>
      <c r="B204" s="159" t="s">
        <v>108</v>
      </c>
      <c r="C204" s="63" t="e" vm="22">
        <v>#VALUE!</v>
      </c>
      <c r="D204" s="63" t="e" vm="22">
        <f t="shared" si="86"/>
        <v>#VALUE!</v>
      </c>
      <c r="E204" s="63"/>
      <c r="F204" s="63">
        <v>31.6</v>
      </c>
      <c r="G204" s="64">
        <v>10</v>
      </c>
      <c r="H204" s="63">
        <f t="shared" ref="H204:H207" si="88">F204*G204</f>
        <v>316</v>
      </c>
      <c r="I204" s="63" t="s">
        <v>5</v>
      </c>
      <c r="J204" s="45"/>
      <c r="K204" s="46"/>
      <c r="L204" s="83"/>
      <c r="M204" s="123"/>
      <c r="N204" s="51" t="s">
        <v>124</v>
      </c>
    </row>
    <row r="205" spans="1:15" s="53" customFormat="1" x14ac:dyDescent="0.35">
      <c r="A205" s="5"/>
      <c r="B205" s="159"/>
      <c r="C205" s="63" t="s">
        <v>125</v>
      </c>
      <c r="D205" s="63" t="str">
        <f t="shared" ref="D205" si="89">C205</f>
        <v>MSFT CDR</v>
      </c>
      <c r="E205" s="63">
        <f>E204</f>
        <v>0</v>
      </c>
      <c r="F205" s="63">
        <v>31.32</v>
      </c>
      <c r="G205" s="64">
        <f>G204</f>
        <v>10</v>
      </c>
      <c r="H205" s="63">
        <f t="shared" si="88"/>
        <v>313.2</v>
      </c>
      <c r="I205" s="63"/>
      <c r="J205" s="45">
        <f>H205-H204</f>
        <v>-2.8000000000000114</v>
      </c>
      <c r="K205" s="46">
        <f>(H205/H204)-100%</f>
        <v>-8.8607594936709333E-3</v>
      </c>
      <c r="L205" s="83"/>
      <c r="M205" s="123"/>
    </row>
    <row r="206" spans="1:15" ht="14.65" customHeight="1" x14ac:dyDescent="0.35">
      <c r="A206" s="5">
        <v>1</v>
      </c>
      <c r="B206" s="141" t="s">
        <v>382</v>
      </c>
      <c r="C206" s="16" t="e" vm="11">
        <v>#VALUE!</v>
      </c>
      <c r="D206" s="16" t="e" vm="11">
        <v>#VALUE!</v>
      </c>
      <c r="E206" s="16" cm="1">
        <f t="array" aca="1" ref="E206" ca="1">_FV(D206,"Price")</f>
        <v>396.80220000000003</v>
      </c>
      <c r="F206" s="16">
        <v>176.96</v>
      </c>
      <c r="G206" s="17">
        <v>1</v>
      </c>
      <c r="H206" s="16">
        <f t="shared" si="88"/>
        <v>176.96</v>
      </c>
      <c r="I206" s="16" t="s">
        <v>5</v>
      </c>
      <c r="J206" s="10"/>
      <c r="K206" s="7"/>
      <c r="L206" s="83"/>
      <c r="M206" s="11"/>
    </row>
    <row r="207" spans="1:15" x14ac:dyDescent="0.35">
      <c r="A207" s="5">
        <v>1</v>
      </c>
      <c r="B207" s="142"/>
      <c r="C207" s="16" t="s">
        <v>37</v>
      </c>
      <c r="D207" s="16" t="str">
        <f t="shared" ref="D207" si="90">C207</f>
        <v>TSLA</v>
      </c>
      <c r="E207" s="16">
        <f ca="1">E206</f>
        <v>396.80220000000003</v>
      </c>
      <c r="F207" s="16">
        <f ca="1">E207</f>
        <v>396.80220000000003</v>
      </c>
      <c r="G207" s="17">
        <f>G206</f>
        <v>1</v>
      </c>
      <c r="H207" s="16">
        <f t="shared" ca="1" si="88"/>
        <v>396.80220000000003</v>
      </c>
      <c r="I207" s="16"/>
      <c r="J207" s="10">
        <f ca="1">H207-H206</f>
        <v>219.84220000000002</v>
      </c>
      <c r="K207" s="7">
        <f ca="1">(H207/H206)-100%</f>
        <v>1.2423270795660035</v>
      </c>
      <c r="L207" s="83"/>
      <c r="M207" s="11"/>
    </row>
    <row r="208" spans="1:15" ht="14.65" customHeight="1" x14ac:dyDescent="0.35">
      <c r="A208" s="5">
        <v>1</v>
      </c>
      <c r="B208" s="135" t="s">
        <v>386</v>
      </c>
      <c r="C208" s="13" t="e" vm="11">
        <v>#VALUE!</v>
      </c>
      <c r="D208" s="13" t="e" vm="11">
        <v>#VALUE!</v>
      </c>
      <c r="E208" s="13" cm="1">
        <f t="array" aca="1" ref="E208" ca="1">_FV(D208,"Price")</f>
        <v>396.80220000000003</v>
      </c>
      <c r="F208" s="13">
        <v>166.1</v>
      </c>
      <c r="G208" s="14">
        <v>38</v>
      </c>
      <c r="H208" s="13">
        <f t="shared" ref="H208:H211" si="91">F208*G208</f>
        <v>6311.8</v>
      </c>
      <c r="I208" s="13" t="s">
        <v>5</v>
      </c>
      <c r="J208" s="10"/>
      <c r="K208" s="7"/>
      <c r="L208" s="83"/>
      <c r="M208" s="11"/>
    </row>
    <row r="209" spans="1:15" ht="28.8" x14ac:dyDescent="0.35">
      <c r="A209" s="5">
        <v>1</v>
      </c>
      <c r="B209" s="136"/>
      <c r="C209" s="13" t="s">
        <v>37</v>
      </c>
      <c r="D209" s="13" t="str">
        <f t="shared" ref="D209" si="92">C209</f>
        <v>TSLA</v>
      </c>
      <c r="E209" s="13">
        <f ca="1">E208</f>
        <v>396.80220000000003</v>
      </c>
      <c r="F209" s="13">
        <f ca="1">E209</f>
        <v>396.80220000000003</v>
      </c>
      <c r="G209" s="14">
        <f>G208</f>
        <v>38</v>
      </c>
      <c r="H209" s="13">
        <f t="shared" ca="1" si="91"/>
        <v>15078.483600000001</v>
      </c>
      <c r="I209" s="13"/>
      <c r="J209" s="10">
        <f ca="1">H209-H208</f>
        <v>8766.6836000000003</v>
      </c>
      <c r="K209" s="7">
        <f ca="1">(H209/H208)-100%</f>
        <v>1.3889355809753163</v>
      </c>
      <c r="L209" s="83"/>
      <c r="M209" s="11"/>
      <c r="O209" s="6" t="s">
        <v>38</v>
      </c>
    </row>
    <row r="210" spans="1:15" ht="14.65" customHeight="1" x14ac:dyDescent="0.35">
      <c r="B210" s="156" t="s">
        <v>33</v>
      </c>
      <c r="C210" s="52" t="e" vm="11">
        <v>#VALUE!</v>
      </c>
      <c r="D210" s="52" t="e" vm="11">
        <v>#VALUE!</v>
      </c>
      <c r="E210" s="52" cm="1">
        <f t="array" aca="1" ref="E210" ca="1">_FV(D210,"Price")</f>
        <v>396.80220000000003</v>
      </c>
      <c r="F210" s="52">
        <v>328.57</v>
      </c>
      <c r="G210" s="54">
        <v>4</v>
      </c>
      <c r="H210" s="52">
        <f t="shared" si="91"/>
        <v>1314.28</v>
      </c>
      <c r="I210" s="52" t="s">
        <v>5</v>
      </c>
      <c r="J210" s="10"/>
      <c r="K210" s="7"/>
      <c r="L210" s="83"/>
      <c r="M210" s="11"/>
    </row>
    <row r="211" spans="1:15" x14ac:dyDescent="0.35">
      <c r="B211" s="180"/>
      <c r="C211" s="52" t="s">
        <v>37</v>
      </c>
      <c r="D211" s="52" t="str">
        <f t="shared" ref="D211" si="93">C211</f>
        <v>TSLA</v>
      </c>
      <c r="E211" s="52">
        <f ca="1">E210</f>
        <v>396.80220000000003</v>
      </c>
      <c r="F211" s="52">
        <v>329.79</v>
      </c>
      <c r="G211" s="54">
        <f>G210</f>
        <v>4</v>
      </c>
      <c r="H211" s="52">
        <f t="shared" si="91"/>
        <v>1319.16</v>
      </c>
      <c r="I211" s="52"/>
      <c r="J211" s="10">
        <f>H211-H210</f>
        <v>4.8800000000001091</v>
      </c>
      <c r="K211" s="7">
        <f>(H211/H210)-100%</f>
        <v>3.7130596219985268E-3</v>
      </c>
      <c r="L211" s="83"/>
      <c r="M211" s="11"/>
      <c r="N211" s="5" t="s">
        <v>126</v>
      </c>
      <c r="O211" s="5" t="s">
        <v>127</v>
      </c>
    </row>
    <row r="212" spans="1:15" ht="28.8" x14ac:dyDescent="0.35">
      <c r="B212" s="181" t="s">
        <v>17</v>
      </c>
      <c r="C212" s="52" t="e" vm="25">
        <v>#VALUE!</v>
      </c>
      <c r="D212" s="52" t="e" vm="25">
        <f>C212</f>
        <v>#VALUE!</v>
      </c>
      <c r="E212" s="52" cm="1">
        <f t="array" aca="1" ref="E212" ca="1">_FV(D212,"Price")</f>
        <v>177.64</v>
      </c>
      <c r="F212" s="52">
        <v>892.69</v>
      </c>
      <c r="G212" s="54">
        <v>7</v>
      </c>
      <c r="H212" s="52">
        <f t="shared" ref="H212:H241" si="94">F212*G212</f>
        <v>6248.83</v>
      </c>
      <c r="I212" s="52" t="s">
        <v>5</v>
      </c>
      <c r="J212" s="68"/>
      <c r="K212" s="69"/>
      <c r="L212" s="83"/>
      <c r="M212" s="126"/>
      <c r="N212" s="6" t="s">
        <v>128</v>
      </c>
    </row>
    <row r="213" spans="1:15" ht="28.8" x14ac:dyDescent="0.35">
      <c r="B213" s="181"/>
      <c r="C213" s="52" t="s">
        <v>101</v>
      </c>
      <c r="D213" s="52" t="str">
        <f t="shared" ref="D213" si="95">C213</f>
        <v>NVDA</v>
      </c>
      <c r="E213" s="52">
        <f ca="1">E212</f>
        <v>177.64</v>
      </c>
      <c r="F213" s="52">
        <f ca="1">E213</f>
        <v>177.64</v>
      </c>
      <c r="G213" s="54">
        <f>G212</f>
        <v>7</v>
      </c>
      <c r="H213" s="52">
        <f t="shared" ca="1" si="94"/>
        <v>1243.48</v>
      </c>
      <c r="I213" s="52"/>
      <c r="J213" s="68">
        <f ca="1">H213-H212</f>
        <v>-5005.3500000000004</v>
      </c>
      <c r="K213" s="69">
        <f ca="1">(H213/H212)-100%</f>
        <v>-0.80100594831352434</v>
      </c>
      <c r="L213" s="83"/>
      <c r="M213" s="126"/>
      <c r="N213" s="6" t="s">
        <v>128</v>
      </c>
    </row>
    <row r="214" spans="1:15" x14ac:dyDescent="0.35">
      <c r="B214" s="161" t="s">
        <v>32</v>
      </c>
      <c r="C214" s="52" t="e" vm="25">
        <v>#VALUE!</v>
      </c>
      <c r="D214" s="52" t="e" vm="25">
        <f>C214</f>
        <v>#VALUE!</v>
      </c>
      <c r="E214" s="52" cm="1">
        <f t="array" aca="1" ref="E214" ca="1">_FV(D214,"Price")</f>
        <v>177.64</v>
      </c>
      <c r="F214" s="52">
        <f>892.69/10</f>
        <v>89.269000000000005</v>
      </c>
      <c r="G214" s="54">
        <f>7*10</f>
        <v>70</v>
      </c>
      <c r="H214" s="52">
        <f t="shared" ref="H214:H215" si="96">F214*G214</f>
        <v>6248.83</v>
      </c>
      <c r="I214" s="52" t="s">
        <v>5</v>
      </c>
      <c r="J214" s="10"/>
      <c r="K214" s="7"/>
      <c r="L214" s="83"/>
      <c r="M214" s="11"/>
    </row>
    <row r="215" spans="1:15" x14ac:dyDescent="0.35">
      <c r="B215" s="162"/>
      <c r="C215" s="52" t="s">
        <v>101</v>
      </c>
      <c r="D215" s="52" t="str">
        <f t="shared" ref="D215" si="97">C215</f>
        <v>NVDA</v>
      </c>
      <c r="E215" s="52">
        <f ca="1">E214</f>
        <v>177.64</v>
      </c>
      <c r="F215" s="52">
        <v>134.32</v>
      </c>
      <c r="G215" s="54">
        <f>G214</f>
        <v>70</v>
      </c>
      <c r="H215" s="52">
        <f t="shared" si="96"/>
        <v>9402.4</v>
      </c>
      <c r="I215" s="52"/>
      <c r="J215" s="10">
        <f>H215-H214</f>
        <v>3153.5699999999997</v>
      </c>
      <c r="K215" s="7">
        <f>(H215/H214)-100%</f>
        <v>0.5046656734140631</v>
      </c>
      <c r="L215" s="83"/>
      <c r="M215" s="11"/>
      <c r="O215" s="5" t="s">
        <v>129</v>
      </c>
    </row>
    <row r="216" spans="1:15" ht="14.65" customHeight="1" x14ac:dyDescent="0.35">
      <c r="B216" s="181" t="s">
        <v>29</v>
      </c>
      <c r="C216" s="52" t="e" vm="25">
        <v>#VALUE!</v>
      </c>
      <c r="D216" s="52" t="e" vm="25">
        <f>C216</f>
        <v>#VALUE!</v>
      </c>
      <c r="E216" s="52" cm="1">
        <f t="array" aca="1" ref="E216" ca="1">_FV(D216,"Price")</f>
        <v>177.64</v>
      </c>
      <c r="F216" s="52">
        <v>118.74</v>
      </c>
      <c r="G216" s="54">
        <v>2</v>
      </c>
      <c r="H216" s="52">
        <f t="shared" ref="H216:H217" si="98">F216*G216</f>
        <v>237.48</v>
      </c>
      <c r="I216" s="52" t="s">
        <v>5</v>
      </c>
      <c r="J216" s="68"/>
      <c r="K216" s="69"/>
      <c r="L216" s="83"/>
      <c r="M216" s="126"/>
      <c r="N216" s="5" t="s">
        <v>130</v>
      </c>
      <c r="O216" s="5" t="s">
        <v>131</v>
      </c>
    </row>
    <row r="217" spans="1:15" x14ac:dyDescent="0.35">
      <c r="B217" s="181"/>
      <c r="C217" s="52" t="s">
        <v>101</v>
      </c>
      <c r="D217" s="52" t="str">
        <f t="shared" ref="D217" si="99">C217</f>
        <v>NVDA</v>
      </c>
      <c r="E217" s="52">
        <f ca="1">E216</f>
        <v>177.64</v>
      </c>
      <c r="F217" s="52">
        <v>119.87</v>
      </c>
      <c r="G217" s="54">
        <f>G216</f>
        <v>2</v>
      </c>
      <c r="H217" s="52">
        <f t="shared" si="98"/>
        <v>239.74</v>
      </c>
      <c r="I217" s="52"/>
      <c r="J217" s="68">
        <f>H217-H216</f>
        <v>2.2600000000000193</v>
      </c>
      <c r="K217" s="69">
        <f>(H217/H216)-100%</f>
        <v>9.5165908708103597E-3</v>
      </c>
      <c r="L217" s="83"/>
      <c r="M217" s="126"/>
    </row>
    <row r="218" spans="1:15" ht="14.65" customHeight="1" x14ac:dyDescent="0.35">
      <c r="B218" s="181" t="s">
        <v>29</v>
      </c>
      <c r="C218" s="52" t="e" vm="25">
        <v>#VALUE!</v>
      </c>
      <c r="D218" s="52" t="e" vm="25">
        <f>C218</f>
        <v>#VALUE!</v>
      </c>
      <c r="E218" s="52" cm="1">
        <f t="array" aca="1" ref="E218" ca="1">_FV(D218,"Price")</f>
        <v>177.64</v>
      </c>
      <c r="F218" s="52">
        <v>118.27</v>
      </c>
      <c r="G218" s="54">
        <v>2</v>
      </c>
      <c r="H218" s="52">
        <f t="shared" ref="H218:H219" si="100">F218*G218</f>
        <v>236.54</v>
      </c>
      <c r="I218" s="52" t="s">
        <v>5</v>
      </c>
      <c r="J218" s="68"/>
      <c r="K218" s="69"/>
      <c r="L218" s="83"/>
      <c r="M218" s="126"/>
      <c r="N218" s="5" t="s">
        <v>132</v>
      </c>
      <c r="O218" s="5" t="s">
        <v>131</v>
      </c>
    </row>
    <row r="219" spans="1:15" x14ac:dyDescent="0.35">
      <c r="B219" s="181"/>
      <c r="C219" s="52" t="s">
        <v>101</v>
      </c>
      <c r="D219" s="52" t="str">
        <f t="shared" ref="D219" si="101">C219</f>
        <v>NVDA</v>
      </c>
      <c r="E219" s="52">
        <f ca="1">E218</f>
        <v>177.64</v>
      </c>
      <c r="F219" s="52">
        <v>119.87</v>
      </c>
      <c r="G219" s="54">
        <f>G218</f>
        <v>2</v>
      </c>
      <c r="H219" s="52">
        <f t="shared" si="100"/>
        <v>239.74</v>
      </c>
      <c r="I219" s="52"/>
      <c r="J219" s="68">
        <f>H219-H218</f>
        <v>3.2000000000000171</v>
      </c>
      <c r="K219" s="69">
        <f>(H219/H218)-100%</f>
        <v>1.3528367295172039E-2</v>
      </c>
      <c r="L219" s="83"/>
      <c r="M219" s="126"/>
    </row>
    <row r="220" spans="1:15" ht="14.65" customHeight="1" x14ac:dyDescent="0.35">
      <c r="B220" s="181" t="s">
        <v>29</v>
      </c>
      <c r="C220" s="52" t="e" vm="25">
        <v>#VALUE!</v>
      </c>
      <c r="D220" s="52" t="e" vm="25">
        <f>C220</f>
        <v>#VALUE!</v>
      </c>
      <c r="E220" s="52" cm="1">
        <f t="array" aca="1" ref="E220" ca="1">_FV(D220,"Price")</f>
        <v>177.64</v>
      </c>
      <c r="F220" s="52">
        <v>115.34</v>
      </c>
      <c r="G220" s="54">
        <v>2</v>
      </c>
      <c r="H220" s="52">
        <f t="shared" ref="H220:H221" si="102">F220*G220</f>
        <v>230.68</v>
      </c>
      <c r="I220" s="52" t="s">
        <v>5</v>
      </c>
      <c r="J220" s="68"/>
      <c r="K220" s="69"/>
      <c r="L220" s="83"/>
      <c r="M220" s="126"/>
      <c r="N220" s="5" t="s">
        <v>133</v>
      </c>
      <c r="O220" s="5" t="s">
        <v>131</v>
      </c>
    </row>
    <row r="221" spans="1:15" x14ac:dyDescent="0.35">
      <c r="B221" s="181"/>
      <c r="C221" s="52" t="s">
        <v>101</v>
      </c>
      <c r="D221" s="52" t="str">
        <f t="shared" ref="D221" si="103">C221</f>
        <v>NVDA</v>
      </c>
      <c r="E221" s="52">
        <f ca="1">E220</f>
        <v>177.64</v>
      </c>
      <c r="F221" s="52">
        <v>119.87</v>
      </c>
      <c r="G221" s="54">
        <f>G220</f>
        <v>2</v>
      </c>
      <c r="H221" s="52">
        <f t="shared" si="102"/>
        <v>239.74</v>
      </c>
      <c r="I221" s="52"/>
      <c r="J221" s="68">
        <f>H221-H220</f>
        <v>9.0600000000000023</v>
      </c>
      <c r="K221" s="69">
        <f>(H221/H220)-100%</f>
        <v>3.9275186405410167E-2</v>
      </c>
      <c r="L221" s="83"/>
      <c r="M221" s="126"/>
    </row>
    <row r="222" spans="1:15" ht="14.65" customHeight="1" x14ac:dyDescent="0.35">
      <c r="B222" s="181" t="s">
        <v>396</v>
      </c>
      <c r="C222" s="52" t="e" vm="25">
        <v>#VALUE!</v>
      </c>
      <c r="D222" s="52" t="e" vm="25">
        <f>C222</f>
        <v>#VALUE!</v>
      </c>
      <c r="E222" s="52" cm="1">
        <f t="array" aca="1" ref="E222" ca="1">_FV(D222,"Price")</f>
        <v>177.64</v>
      </c>
      <c r="F222" s="52">
        <v>118.97</v>
      </c>
      <c r="G222" s="54">
        <v>33</v>
      </c>
      <c r="H222" s="52">
        <f t="shared" ref="H222:H225" si="104">F222*G222</f>
        <v>3926.0099999999998</v>
      </c>
      <c r="I222" s="52" t="s">
        <v>5</v>
      </c>
      <c r="J222" s="68"/>
      <c r="K222" s="69"/>
      <c r="L222" s="83"/>
      <c r="M222" s="126"/>
      <c r="N222" s="5" t="s">
        <v>134</v>
      </c>
      <c r="O222" s="5" t="s">
        <v>131</v>
      </c>
    </row>
    <row r="223" spans="1:15" x14ac:dyDescent="0.35">
      <c r="B223" s="181"/>
      <c r="C223" s="52" t="s">
        <v>101</v>
      </c>
      <c r="D223" s="52" t="str">
        <f t="shared" ref="D223" si="105">C223</f>
        <v>NVDA</v>
      </c>
      <c r="E223" s="52">
        <f ca="1">E222</f>
        <v>177.64</v>
      </c>
      <c r="F223" s="52">
        <v>119.87</v>
      </c>
      <c r="G223" s="54">
        <f>G222</f>
        <v>33</v>
      </c>
      <c r="H223" s="52">
        <f t="shared" si="104"/>
        <v>3955.71</v>
      </c>
      <c r="I223" s="52"/>
      <c r="J223" s="68">
        <f>H223-H222</f>
        <v>29.700000000000273</v>
      </c>
      <c r="K223" s="69">
        <f>(H223/H222)-100%</f>
        <v>7.5649323358830678E-3</v>
      </c>
      <c r="L223" s="83"/>
      <c r="M223" s="126"/>
    </row>
    <row r="224" spans="1:15" ht="14.65" customHeight="1" x14ac:dyDescent="0.35">
      <c r="B224" s="181" t="s">
        <v>33</v>
      </c>
      <c r="C224" s="52" t="e" vm="25">
        <v>#VALUE!</v>
      </c>
      <c r="D224" s="52" t="e" vm="25">
        <f>C224</f>
        <v>#VALUE!</v>
      </c>
      <c r="E224" s="52" cm="1">
        <f t="array" aca="1" ref="E224" ca="1">_FV(D224,"Price")</f>
        <v>177.64</v>
      </c>
      <c r="F224" s="52">
        <v>131.88999999999999</v>
      </c>
      <c r="G224" s="54">
        <v>28</v>
      </c>
      <c r="H224" s="52">
        <f t="shared" si="104"/>
        <v>3692.9199999999996</v>
      </c>
      <c r="I224" s="52" t="s">
        <v>5</v>
      </c>
      <c r="J224" s="10"/>
      <c r="K224" s="7"/>
      <c r="L224" s="83"/>
      <c r="M224" s="11"/>
      <c r="N224" s="5" t="s">
        <v>135</v>
      </c>
      <c r="O224" s="5" t="s">
        <v>136</v>
      </c>
    </row>
    <row r="225" spans="1:16" x14ac:dyDescent="0.35">
      <c r="B225" s="181"/>
      <c r="C225" s="52" t="s">
        <v>101</v>
      </c>
      <c r="D225" s="52" t="str">
        <f t="shared" ref="D225" si="106">C225</f>
        <v>NVDA</v>
      </c>
      <c r="E225" s="52">
        <f ca="1">E224</f>
        <v>177.64</v>
      </c>
      <c r="F225" s="52">
        <v>132</v>
      </c>
      <c r="G225" s="54">
        <f>G224</f>
        <v>28</v>
      </c>
      <c r="H225" s="52">
        <f t="shared" si="104"/>
        <v>3696</v>
      </c>
      <c r="I225" s="52"/>
      <c r="J225" s="10">
        <f>H225-H224</f>
        <v>3.080000000000382</v>
      </c>
      <c r="K225" s="7">
        <f>(H225/H224)-100%</f>
        <v>8.3402835696433364E-4</v>
      </c>
      <c r="L225" s="83"/>
      <c r="M225" s="11"/>
      <c r="N225" s="5" t="s">
        <v>93</v>
      </c>
    </row>
    <row r="226" spans="1:16" ht="14.65" customHeight="1" x14ac:dyDescent="0.35">
      <c r="B226" s="181" t="s">
        <v>33</v>
      </c>
      <c r="C226" s="52" t="e" vm="25">
        <v>#VALUE!</v>
      </c>
      <c r="D226" s="52" t="e" vm="25">
        <f>C226</f>
        <v>#VALUE!</v>
      </c>
      <c r="E226" s="52" cm="1">
        <f t="array" aca="1" ref="E226" ca="1">_FV(D226,"Price")</f>
        <v>177.64</v>
      </c>
      <c r="F226" s="52">
        <v>130.61000000000001</v>
      </c>
      <c r="G226" s="54">
        <v>4</v>
      </c>
      <c r="H226" s="52">
        <f t="shared" ref="H226:H227" si="107">F226*G226</f>
        <v>522.44000000000005</v>
      </c>
      <c r="I226" s="52" t="s">
        <v>5</v>
      </c>
      <c r="J226" s="10"/>
      <c r="K226" s="7"/>
      <c r="L226" s="83"/>
      <c r="M226" s="11"/>
      <c r="N226" s="5" t="s">
        <v>137</v>
      </c>
      <c r="O226" s="5" t="s">
        <v>136</v>
      </c>
    </row>
    <row r="227" spans="1:16" x14ac:dyDescent="0.35">
      <c r="B227" s="181"/>
      <c r="C227" s="52" t="s">
        <v>101</v>
      </c>
      <c r="D227" s="52" t="str">
        <f t="shared" ref="D227" si="108">C227</f>
        <v>NVDA</v>
      </c>
      <c r="E227" s="52">
        <f ca="1">E226</f>
        <v>177.64</v>
      </c>
      <c r="F227" s="52">
        <v>132</v>
      </c>
      <c r="G227" s="54">
        <f>G226</f>
        <v>4</v>
      </c>
      <c r="H227" s="52">
        <f t="shared" si="107"/>
        <v>528</v>
      </c>
      <c r="I227" s="52"/>
      <c r="J227" s="10">
        <f>H227-H226</f>
        <v>5.5599999999999454</v>
      </c>
      <c r="K227" s="7">
        <f>(H227/H226)-100%</f>
        <v>1.0642370415741453E-2</v>
      </c>
      <c r="L227" s="83"/>
      <c r="M227" s="11"/>
      <c r="N227" s="5" t="s">
        <v>93</v>
      </c>
    </row>
    <row r="228" spans="1:16" ht="14.65" customHeight="1" x14ac:dyDescent="0.35">
      <c r="B228" s="186" t="s">
        <v>33</v>
      </c>
      <c r="C228" s="52" t="e" vm="25">
        <v>#VALUE!</v>
      </c>
      <c r="D228" s="52" t="e" vm="25">
        <f>C228</f>
        <v>#VALUE!</v>
      </c>
      <c r="E228" s="52" cm="1">
        <f t="array" aca="1" ref="E228" ca="1">_FV(D228,"Price")</f>
        <v>177.64</v>
      </c>
      <c r="F228" s="52">
        <v>139.16999999999999</v>
      </c>
      <c r="G228" s="54">
        <v>10</v>
      </c>
      <c r="H228" s="52">
        <f t="shared" ref="H228:H229" si="109">F228*G228</f>
        <v>1391.6999999999998</v>
      </c>
      <c r="I228" s="81" t="s">
        <v>5</v>
      </c>
      <c r="J228" s="10"/>
      <c r="K228" s="7"/>
      <c r="L228" s="83"/>
      <c r="M228" s="11"/>
      <c r="N228" s="5" t="s">
        <v>138</v>
      </c>
    </row>
    <row r="229" spans="1:16" x14ac:dyDescent="0.35">
      <c r="B229" s="187"/>
      <c r="C229" s="52" t="s">
        <v>101</v>
      </c>
      <c r="D229" s="52" t="str">
        <f t="shared" ref="D229" si="110">C229</f>
        <v>NVDA</v>
      </c>
      <c r="E229" s="52">
        <f ca="1">E228</f>
        <v>177.64</v>
      </c>
      <c r="F229" s="52">
        <v>141.15</v>
      </c>
      <c r="G229" s="54">
        <f>G228</f>
        <v>10</v>
      </c>
      <c r="H229" s="52">
        <f t="shared" si="109"/>
        <v>1411.5</v>
      </c>
      <c r="I229" s="81"/>
      <c r="J229" s="10">
        <f>H229-H228</f>
        <v>19.800000000000182</v>
      </c>
      <c r="K229" s="7">
        <f>(H229/H228)-100%</f>
        <v>1.4227204138823168E-2</v>
      </c>
      <c r="L229" s="83"/>
      <c r="M229" s="11"/>
      <c r="N229" s="5" t="s">
        <v>139</v>
      </c>
    </row>
    <row r="230" spans="1:16" x14ac:dyDescent="0.35">
      <c r="B230" s="186" t="s">
        <v>33</v>
      </c>
      <c r="C230" s="52" t="e" vm="25">
        <v>#VALUE!</v>
      </c>
      <c r="D230" s="52" t="e" vm="25">
        <f>C230</f>
        <v>#VALUE!</v>
      </c>
      <c r="E230" s="52" cm="1">
        <f t="array" aca="1" ref="E230" ca="1">_FV(D230,"Price")</f>
        <v>177.64</v>
      </c>
      <c r="F230" s="52">
        <v>139.16999999999999</v>
      </c>
      <c r="G230" s="54">
        <v>5</v>
      </c>
      <c r="H230" s="52">
        <f t="shared" ref="H230:H231" si="111">F230*G230</f>
        <v>695.84999999999991</v>
      </c>
      <c r="I230" s="81" t="s">
        <v>5</v>
      </c>
      <c r="J230" s="10"/>
      <c r="K230" s="7"/>
      <c r="L230" s="83"/>
      <c r="M230" s="11"/>
    </row>
    <row r="231" spans="1:16" x14ac:dyDescent="0.35">
      <c r="B231" s="187"/>
      <c r="C231" s="52" t="s">
        <v>101</v>
      </c>
      <c r="D231" s="52" t="str">
        <f t="shared" ref="D231" si="112">C231</f>
        <v>NVDA</v>
      </c>
      <c r="E231" s="52">
        <f ca="1">E230</f>
        <v>177.64</v>
      </c>
      <c r="F231" s="52">
        <v>141.16999999999999</v>
      </c>
      <c r="G231" s="54">
        <f>G230</f>
        <v>5</v>
      </c>
      <c r="H231" s="52">
        <f t="shared" si="111"/>
        <v>705.84999999999991</v>
      </c>
      <c r="I231" s="81"/>
      <c r="J231" s="10">
        <f>H231-H230</f>
        <v>10</v>
      </c>
      <c r="K231" s="7">
        <f>(H231/H230)-100%</f>
        <v>1.4370913271538388E-2</v>
      </c>
      <c r="L231" s="83"/>
      <c r="M231" s="11"/>
      <c r="N231" s="5" t="s">
        <v>140</v>
      </c>
    </row>
    <row r="232" spans="1:16" ht="14.65" customHeight="1" x14ac:dyDescent="0.35">
      <c r="A232" s="5">
        <v>1</v>
      </c>
      <c r="B232" s="141" t="s">
        <v>382</v>
      </c>
      <c r="C232" s="81" t="e" vm="25">
        <v>#VALUE!</v>
      </c>
      <c r="D232" s="81" t="e" vm="25">
        <f>C232</f>
        <v>#VALUE!</v>
      </c>
      <c r="E232" s="81" cm="1">
        <f t="array" aca="1" ref="E232" ca="1">_FV(D232,"Price")</f>
        <v>177.64</v>
      </c>
      <c r="F232" s="81">
        <v>139.16999999999999</v>
      </c>
      <c r="G232" s="82">
        <v>18</v>
      </c>
      <c r="H232" s="81">
        <f t="shared" ref="H232:H233" si="113">F232*G232</f>
        <v>2505.06</v>
      </c>
      <c r="I232" s="81" t="s">
        <v>5</v>
      </c>
      <c r="J232" s="10"/>
      <c r="K232" s="7"/>
      <c r="L232" s="83"/>
      <c r="M232" s="11"/>
    </row>
    <row r="233" spans="1:16" x14ac:dyDescent="0.35">
      <c r="A233" s="5">
        <v>1</v>
      </c>
      <c r="B233" s="142"/>
      <c r="C233" s="81" t="s">
        <v>101</v>
      </c>
      <c r="D233" s="81" t="str">
        <f t="shared" ref="D233" si="114">C233</f>
        <v>NVDA</v>
      </c>
      <c r="E233" s="81">
        <f ca="1">E232</f>
        <v>177.64</v>
      </c>
      <c r="F233" s="81">
        <f ca="1">E233</f>
        <v>177.64</v>
      </c>
      <c r="G233" s="82">
        <f>G232</f>
        <v>18</v>
      </c>
      <c r="H233" s="81">
        <f t="shared" ca="1" si="113"/>
        <v>3197.5199999999995</v>
      </c>
      <c r="I233" s="81"/>
      <c r="J233" s="10">
        <f ca="1">H233-H232</f>
        <v>692.45999999999958</v>
      </c>
      <c r="K233" s="7">
        <f ca="1">(H233/H232)-100%</f>
        <v>0.27642451677804103</v>
      </c>
      <c r="L233" s="83"/>
      <c r="M233" s="11"/>
      <c r="N233" s="5" t="s">
        <v>141</v>
      </c>
      <c r="P233" s="5" t="s">
        <v>288</v>
      </c>
    </row>
    <row r="234" spans="1:16" x14ac:dyDescent="0.35">
      <c r="B234" s="164" t="s">
        <v>142</v>
      </c>
      <c r="C234" s="52" t="e" vm="25">
        <v>#VALUE!</v>
      </c>
      <c r="D234" s="52" t="e" vm="25">
        <f>C234</f>
        <v>#VALUE!</v>
      </c>
      <c r="E234" s="52" cm="1">
        <f t="array" aca="1" ref="E234" ca="1">_FV(D234,"Price")</f>
        <v>177.64</v>
      </c>
      <c r="F234" s="52">
        <v>131.09</v>
      </c>
      <c r="G234" s="54">
        <v>4</v>
      </c>
      <c r="H234" s="52">
        <f t="shared" ref="H234:H237" si="115">F234*G234</f>
        <v>524.36</v>
      </c>
      <c r="I234" s="52" t="s">
        <v>5</v>
      </c>
      <c r="J234" s="10"/>
      <c r="K234" s="7"/>
      <c r="L234" s="83"/>
      <c r="M234" s="11"/>
    </row>
    <row r="235" spans="1:16" x14ac:dyDescent="0.35">
      <c r="B235" s="165"/>
      <c r="C235" s="52" t="s">
        <v>101</v>
      </c>
      <c r="D235" s="52" t="str">
        <f t="shared" ref="D235" si="116">C235</f>
        <v>NVDA</v>
      </c>
      <c r="E235" s="52">
        <f ca="1">E234</f>
        <v>177.64</v>
      </c>
      <c r="F235" s="52">
        <v>134.18</v>
      </c>
      <c r="G235" s="54">
        <f>G234</f>
        <v>4</v>
      </c>
      <c r="H235" s="52">
        <f t="shared" si="115"/>
        <v>536.72</v>
      </c>
      <c r="I235" s="52"/>
      <c r="J235" s="10">
        <f>H235-H234</f>
        <v>12.360000000000014</v>
      </c>
      <c r="K235" s="7">
        <f>(H235/H234)-100%</f>
        <v>2.3571592036005784E-2</v>
      </c>
      <c r="L235" s="83"/>
      <c r="M235" s="11"/>
      <c r="N235" s="5" t="s">
        <v>143</v>
      </c>
      <c r="O235" s="5" t="s">
        <v>144</v>
      </c>
    </row>
    <row r="236" spans="1:16" x14ac:dyDescent="0.35">
      <c r="B236" s="188" t="s">
        <v>396</v>
      </c>
      <c r="C236" s="52" t="e" vm="25">
        <v>#VALUE!</v>
      </c>
      <c r="D236" s="52" t="e" vm="25">
        <f>C236</f>
        <v>#VALUE!</v>
      </c>
      <c r="E236" s="52" cm="1">
        <f t="array" aca="1" ref="E236" ca="1">_FV(D236,"Price")</f>
        <v>177.64</v>
      </c>
      <c r="F236" s="52">
        <v>131.52000000000001</v>
      </c>
      <c r="G236" s="54">
        <v>5</v>
      </c>
      <c r="H236" s="52">
        <f t="shared" si="115"/>
        <v>657.6</v>
      </c>
      <c r="I236" s="52" t="s">
        <v>5</v>
      </c>
      <c r="J236" s="10"/>
      <c r="K236" s="7"/>
      <c r="L236" s="83"/>
      <c r="M236" s="11"/>
    </row>
    <row r="237" spans="1:16" x14ac:dyDescent="0.35">
      <c r="B237" s="189"/>
      <c r="C237" s="52" t="s">
        <v>101</v>
      </c>
      <c r="D237" s="52" t="str">
        <f t="shared" ref="D237" si="117">C237</f>
        <v>NVDA</v>
      </c>
      <c r="E237" s="52">
        <f ca="1">E236</f>
        <v>177.64</v>
      </c>
      <c r="F237" s="52">
        <v>141.06</v>
      </c>
      <c r="G237" s="54">
        <f>G236</f>
        <v>5</v>
      </c>
      <c r="H237" s="52">
        <f t="shared" si="115"/>
        <v>705.3</v>
      </c>
      <c r="I237" s="52"/>
      <c r="J237" s="10">
        <f>H237-H236</f>
        <v>47.699999999999932</v>
      </c>
      <c r="K237" s="7">
        <f>(H237/H236)-100%</f>
        <v>7.2536496350364965E-2</v>
      </c>
      <c r="L237" s="83"/>
      <c r="M237" s="11"/>
      <c r="N237" s="5" t="s">
        <v>143</v>
      </c>
      <c r="O237" s="5" t="s">
        <v>145</v>
      </c>
    </row>
    <row r="238" spans="1:16" x14ac:dyDescent="0.35">
      <c r="B238" s="139" t="s">
        <v>32</v>
      </c>
      <c r="C238" s="63" t="e" vm="25">
        <v>#VALUE!</v>
      </c>
      <c r="D238" s="63" t="e" vm="25">
        <f>C238</f>
        <v>#VALUE!</v>
      </c>
      <c r="E238" s="63" cm="1">
        <f t="array" aca="1" ref="E238" ca="1">_FV(D238,"Price")</f>
        <v>177.64</v>
      </c>
      <c r="F238" s="63">
        <v>142.43</v>
      </c>
      <c r="G238" s="64">
        <v>25</v>
      </c>
      <c r="H238" s="63">
        <f t="shared" ref="H238:H239" si="118">F238*G238</f>
        <v>3560.75</v>
      </c>
      <c r="I238" s="63" t="s">
        <v>5</v>
      </c>
      <c r="J238" s="10"/>
      <c r="K238" s="7"/>
      <c r="L238" s="83"/>
      <c r="M238" s="11"/>
    </row>
    <row r="239" spans="1:16" x14ac:dyDescent="0.35">
      <c r="B239" s="140"/>
      <c r="C239" s="63" t="s">
        <v>101</v>
      </c>
      <c r="D239" s="63" t="str">
        <f t="shared" ref="D239" si="119">C239</f>
        <v>NVDA</v>
      </c>
      <c r="E239" s="63">
        <f ca="1">E238</f>
        <v>177.64</v>
      </c>
      <c r="F239" s="63">
        <v>176.86</v>
      </c>
      <c r="G239" s="64">
        <f>G238</f>
        <v>25</v>
      </c>
      <c r="H239" s="63">
        <f t="shared" si="118"/>
        <v>4421.5</v>
      </c>
      <c r="I239" s="63"/>
      <c r="J239" s="10">
        <f>H239-H238</f>
        <v>860.75</v>
      </c>
      <c r="K239" s="7">
        <f>(H239/H238)-100%</f>
        <v>0.24173278101523565</v>
      </c>
      <c r="L239" s="83"/>
      <c r="M239" s="11"/>
      <c r="N239" s="5" t="s">
        <v>146</v>
      </c>
      <c r="O239" s="5" t="s">
        <v>289</v>
      </c>
    </row>
    <row r="240" spans="1:16" x14ac:dyDescent="0.35">
      <c r="A240" s="5">
        <v>1</v>
      </c>
      <c r="B240" s="143" t="s">
        <v>147</v>
      </c>
      <c r="C240" s="20" t="e" vm="11">
        <v>#VALUE!</v>
      </c>
      <c r="D240" s="20" t="e" vm="11">
        <v>#VALUE!</v>
      </c>
      <c r="E240" s="20" cm="1">
        <f t="array" aca="1" ref="E240" ca="1">_FV(D240,"Price")</f>
        <v>396.80220000000003</v>
      </c>
      <c r="F240" s="20">
        <v>157.54</v>
      </c>
      <c r="G240" s="21">
        <v>1</v>
      </c>
      <c r="H240" s="20">
        <f t="shared" si="94"/>
        <v>157.54</v>
      </c>
      <c r="I240" s="20" t="s">
        <v>5</v>
      </c>
      <c r="J240" s="10"/>
      <c r="K240" s="7"/>
      <c r="L240" s="83"/>
      <c r="M240" s="11"/>
    </row>
    <row r="241" spans="1:16" x14ac:dyDescent="0.35">
      <c r="A241" s="5">
        <v>1</v>
      </c>
      <c r="B241" s="143"/>
      <c r="C241" s="20" t="s">
        <v>37</v>
      </c>
      <c r="D241" s="20" t="str">
        <f t="shared" ref="D241" si="120">C241</f>
        <v>TSLA</v>
      </c>
      <c r="E241" s="20">
        <f ca="1">E240</f>
        <v>396.80220000000003</v>
      </c>
      <c r="F241" s="20">
        <f ca="1">E241</f>
        <v>396.80220000000003</v>
      </c>
      <c r="G241" s="21">
        <f>G240</f>
        <v>1</v>
      </c>
      <c r="H241" s="20">
        <f t="shared" ca="1" si="94"/>
        <v>396.80220000000003</v>
      </c>
      <c r="I241" s="20"/>
      <c r="J241" s="10">
        <f ca="1">H241-H240</f>
        <v>239.26220000000004</v>
      </c>
      <c r="K241" s="7">
        <f ca="1">(H241/H240)-100%</f>
        <v>1.5187393677796117</v>
      </c>
      <c r="L241" s="83"/>
      <c r="M241" s="11"/>
    </row>
    <row r="242" spans="1:16" ht="29.3" customHeight="1" x14ac:dyDescent="0.35">
      <c r="B242" s="157" t="s">
        <v>33</v>
      </c>
      <c r="C242" s="47" t="e" vm="8">
        <v>#VALUE!</v>
      </c>
      <c r="D242" s="47" t="e" vm="8">
        <v>#VALUE!</v>
      </c>
      <c r="E242" s="47" cm="1">
        <f t="array" aca="1" ref="E242" ca="1">_FV(D242,"Price")</f>
        <v>4.7789000000000001</v>
      </c>
      <c r="F242" s="47">
        <v>5.12</v>
      </c>
      <c r="G242" s="48">
        <v>12</v>
      </c>
      <c r="H242" s="47">
        <f t="shared" ref="H242:H243" si="121">F242*G242</f>
        <v>61.44</v>
      </c>
      <c r="I242" s="47" t="s">
        <v>5</v>
      </c>
      <c r="J242" s="10"/>
      <c r="K242" s="7"/>
      <c r="L242" s="83"/>
      <c r="M242" s="11"/>
    </row>
    <row r="243" spans="1:16" ht="51.05" customHeight="1" x14ac:dyDescent="0.35">
      <c r="B243" s="157"/>
      <c r="C243" s="47" t="s">
        <v>27</v>
      </c>
      <c r="D243" s="47" t="s">
        <v>27</v>
      </c>
      <c r="E243" s="47">
        <f ca="1">E242</f>
        <v>4.7789000000000001</v>
      </c>
      <c r="F243" s="47">
        <v>4.47</v>
      </c>
      <c r="G243" s="48">
        <f>G242</f>
        <v>12</v>
      </c>
      <c r="H243" s="47">
        <f t="shared" si="121"/>
        <v>53.64</v>
      </c>
      <c r="I243" s="47"/>
      <c r="J243" s="10">
        <f>H243-H242</f>
        <v>-7.7999999999999972</v>
      </c>
      <c r="K243" s="7">
        <f>(H243/H242)-100%</f>
        <v>-0.126953125</v>
      </c>
      <c r="L243" s="83"/>
      <c r="M243" s="11"/>
      <c r="N243" s="5" t="s">
        <v>14</v>
      </c>
    </row>
    <row r="244" spans="1:16" ht="14.4" customHeight="1" x14ac:dyDescent="0.35">
      <c r="A244" s="5">
        <v>1</v>
      </c>
      <c r="B244" s="146" t="s">
        <v>381</v>
      </c>
      <c r="C244" s="5" t="e" vm="31">
        <v>#VALUE!</v>
      </c>
      <c r="D244" s="5" t="e" vm="31">
        <f>C244</f>
        <v>#VALUE!</v>
      </c>
      <c r="E244" s="13" cm="1">
        <f t="array" aca="1" ref="E244" ca="1">_FV(D244,"Price")</f>
        <v>1.165</v>
      </c>
      <c r="F244" s="13">
        <v>9.73</v>
      </c>
      <c r="G244" s="14">
        <v>103</v>
      </c>
      <c r="H244" s="13">
        <f t="shared" ref="H244:H245" si="122">F244*G244</f>
        <v>1002.19</v>
      </c>
      <c r="I244" s="13" t="s">
        <v>5</v>
      </c>
      <c r="J244" s="10"/>
      <c r="K244" s="7"/>
      <c r="L244" s="83"/>
      <c r="M244" s="11"/>
    </row>
    <row r="245" spans="1:16" x14ac:dyDescent="0.35">
      <c r="A245" s="5">
        <v>1</v>
      </c>
      <c r="B245" s="147"/>
      <c r="C245" s="22" t="s">
        <v>148</v>
      </c>
      <c r="D245" s="5" t="str">
        <f t="shared" ref="D245" si="123">C245</f>
        <v>AMC</v>
      </c>
      <c r="E245" s="13">
        <f ca="1">E244</f>
        <v>1.165</v>
      </c>
      <c r="F245" s="13">
        <f ca="1">E245</f>
        <v>1.165</v>
      </c>
      <c r="G245" s="14">
        <f>G244</f>
        <v>103</v>
      </c>
      <c r="H245" s="13">
        <f t="shared" ca="1" si="122"/>
        <v>119.995</v>
      </c>
      <c r="I245" s="13"/>
      <c r="J245" s="10">
        <f ca="1">H245-H244</f>
        <v>-882.19500000000005</v>
      </c>
      <c r="K245" s="7">
        <f ca="1">(H245/H244)-100%</f>
        <v>-0.88026721479958892</v>
      </c>
      <c r="L245" s="83"/>
      <c r="M245" s="11"/>
    </row>
    <row r="246" spans="1:16" x14ac:dyDescent="0.35">
      <c r="A246" s="5">
        <v>1</v>
      </c>
      <c r="B246" s="192" t="s">
        <v>108</v>
      </c>
      <c r="C246" s="20" t="e" vm="32">
        <v>#VALUE!</v>
      </c>
      <c r="D246" s="20" t="e" vm="32">
        <f>C246</f>
        <v>#VALUE!</v>
      </c>
      <c r="E246" s="20" cm="1">
        <f t="array" aca="1" ref="E246" ca="1">_FV(D246,"Price")</f>
        <v>45.84</v>
      </c>
      <c r="F246" s="20">
        <v>35.76</v>
      </c>
      <c r="G246" s="21">
        <v>2</v>
      </c>
      <c r="H246" s="20">
        <f>F246*G246</f>
        <v>71.52</v>
      </c>
      <c r="I246" s="20" t="s">
        <v>5</v>
      </c>
      <c r="J246" s="10"/>
      <c r="K246" s="7"/>
      <c r="L246" s="83"/>
      <c r="M246" s="11"/>
    </row>
    <row r="247" spans="1:16" x14ac:dyDescent="0.35">
      <c r="A247" s="5">
        <v>1</v>
      </c>
      <c r="B247" s="192"/>
      <c r="C247" s="20" t="s">
        <v>150</v>
      </c>
      <c r="D247" s="20" t="str">
        <f>C247</f>
        <v>Manulife</v>
      </c>
      <c r="E247" s="20">
        <f ca="1">E246</f>
        <v>45.84</v>
      </c>
      <c r="F247" s="20">
        <f ca="1">E247</f>
        <v>45.84</v>
      </c>
      <c r="G247" s="21">
        <f>G246</f>
        <v>2</v>
      </c>
      <c r="H247" s="20">
        <f ca="1">F247*G247</f>
        <v>91.68</v>
      </c>
      <c r="I247" s="20"/>
      <c r="J247" s="10">
        <f ca="1">H247-H246</f>
        <v>20.160000000000011</v>
      </c>
      <c r="K247" s="7">
        <f ca="1">(H247/H246)-100%</f>
        <v>0.28187919463087274</v>
      </c>
      <c r="L247" s="83"/>
      <c r="M247" s="11"/>
      <c r="N247" s="5" t="s">
        <v>149</v>
      </c>
    </row>
    <row r="248" spans="1:16" ht="14.65" customHeight="1" x14ac:dyDescent="0.35">
      <c r="B248" s="181" t="s">
        <v>29</v>
      </c>
      <c r="C248" s="52" t="e" vm="22">
        <v>#VALUE!</v>
      </c>
      <c r="D248" s="52" t="e" vm="22">
        <f>C248</f>
        <v>#VALUE!</v>
      </c>
      <c r="E248" s="52" cm="1">
        <f t="array" aca="1" ref="E248" ca="1">_FV(D248,"Price")</f>
        <v>409.05500000000001</v>
      </c>
      <c r="F248" s="52">
        <v>418.99</v>
      </c>
      <c r="G248" s="54">
        <v>9</v>
      </c>
      <c r="H248" s="52">
        <f t="shared" ref="H248:H257" si="124">F248*G248</f>
        <v>3770.91</v>
      </c>
      <c r="I248" s="52" t="s">
        <v>5</v>
      </c>
      <c r="J248" s="10"/>
      <c r="K248" s="7"/>
      <c r="L248" s="83"/>
      <c r="M248" s="11"/>
      <c r="N248" s="5" t="s">
        <v>151</v>
      </c>
    </row>
    <row r="249" spans="1:16" x14ac:dyDescent="0.35">
      <c r="B249" s="181"/>
      <c r="C249" s="52" t="s">
        <v>69</v>
      </c>
      <c r="D249" s="52" t="str">
        <f t="shared" ref="D249" si="125">C249</f>
        <v>MSFT</v>
      </c>
      <c r="E249" s="52">
        <f ca="1">E248</f>
        <v>409.05500000000001</v>
      </c>
      <c r="F249" s="52">
        <v>421.05</v>
      </c>
      <c r="G249" s="54">
        <f>G248</f>
        <v>9</v>
      </c>
      <c r="H249" s="52">
        <f t="shared" si="124"/>
        <v>3789.4500000000003</v>
      </c>
      <c r="I249" s="52"/>
      <c r="J249" s="10">
        <f>H249-H248</f>
        <v>18.540000000000418</v>
      </c>
      <c r="K249" s="7">
        <f>(H249/H248)-100%</f>
        <v>4.9165851213632816E-3</v>
      </c>
      <c r="L249" s="83"/>
      <c r="M249" s="11"/>
    </row>
    <row r="250" spans="1:16" x14ac:dyDescent="0.35">
      <c r="B250" s="171" t="s">
        <v>394</v>
      </c>
      <c r="C250" s="47" t="e" vm="33">
        <v>#VALUE!</v>
      </c>
      <c r="D250" s="53" t="e" vm="33">
        <f>C250</f>
        <v>#VALUE!</v>
      </c>
      <c r="E250" s="52" cm="1">
        <f t="array" aca="1" ref="E250" ca="1">_FV(D250,"Price")</f>
        <v>43.96</v>
      </c>
      <c r="F250" s="52">
        <v>13.18</v>
      </c>
      <c r="G250" s="54">
        <v>10</v>
      </c>
      <c r="H250" s="52">
        <f t="shared" si="124"/>
        <v>131.80000000000001</v>
      </c>
      <c r="I250" s="52" t="s">
        <v>5</v>
      </c>
      <c r="J250" s="10"/>
      <c r="K250" s="7"/>
      <c r="L250" s="83"/>
      <c r="M250" s="11"/>
      <c r="N250" s="5" t="s">
        <v>152</v>
      </c>
      <c r="O250" s="5" t="s">
        <v>319</v>
      </c>
      <c r="P250" s="5" t="s">
        <v>318</v>
      </c>
    </row>
    <row r="251" spans="1:16" x14ac:dyDescent="0.35">
      <c r="B251" s="171"/>
      <c r="C251" s="78" t="s">
        <v>153</v>
      </c>
      <c r="D251" s="53" t="str">
        <f t="shared" ref="D251" si="126">C251</f>
        <v>K.TO</v>
      </c>
      <c r="E251" s="52">
        <f ca="1">E250</f>
        <v>43.96</v>
      </c>
      <c r="F251" s="52">
        <f ca="1">E251</f>
        <v>43.96</v>
      </c>
      <c r="G251" s="54">
        <f>G250</f>
        <v>10</v>
      </c>
      <c r="H251" s="52">
        <f t="shared" ca="1" si="124"/>
        <v>439.6</v>
      </c>
      <c r="I251" s="52"/>
      <c r="J251" s="10">
        <f ca="1">H251-H250</f>
        <v>307.8</v>
      </c>
      <c r="K251" s="7">
        <f ca="1">(H251/H250)-100%</f>
        <v>2.3353566009104703</v>
      </c>
      <c r="L251" s="83"/>
      <c r="M251" s="11"/>
    </row>
    <row r="252" spans="1:16" ht="14.4" customHeight="1" x14ac:dyDescent="0.35">
      <c r="B252" s="171" t="s">
        <v>394</v>
      </c>
      <c r="C252" s="47" t="e" vm="33">
        <v>#VALUE!</v>
      </c>
      <c r="D252" s="53" t="e" vm="33">
        <f>C252</f>
        <v>#VALUE!</v>
      </c>
      <c r="E252" s="52" cm="1">
        <f t="array" aca="1" ref="E252" ca="1">_FV(D252,"Price")</f>
        <v>43.96</v>
      </c>
      <c r="F252" s="52">
        <v>16.09</v>
      </c>
      <c r="G252" s="54">
        <v>4</v>
      </c>
      <c r="H252" s="52">
        <f t="shared" ref="H252:H253" si="127">F252*G252</f>
        <v>64.36</v>
      </c>
      <c r="I252" s="52" t="s">
        <v>5</v>
      </c>
      <c r="J252" s="10"/>
      <c r="K252" s="7"/>
      <c r="L252" s="83"/>
      <c r="M252" s="11"/>
    </row>
    <row r="253" spans="1:16" x14ac:dyDescent="0.35">
      <c r="B253" s="171"/>
      <c r="C253" s="78" t="s">
        <v>153</v>
      </c>
      <c r="D253" s="53" t="str">
        <f t="shared" ref="D253" si="128">C253</f>
        <v>K.TO</v>
      </c>
      <c r="E253" s="52">
        <f ca="1">E252</f>
        <v>43.96</v>
      </c>
      <c r="F253" s="52">
        <f ca="1">E253</f>
        <v>43.96</v>
      </c>
      <c r="G253" s="54">
        <f>G252</f>
        <v>4</v>
      </c>
      <c r="H253" s="52">
        <f t="shared" ca="1" si="127"/>
        <v>175.84</v>
      </c>
      <c r="I253" s="52"/>
      <c r="J253" s="10">
        <f ca="1">H253-H252</f>
        <v>111.48</v>
      </c>
      <c r="K253" s="7">
        <f ca="1">(H253/H252)-100%</f>
        <v>1.7321317588564327</v>
      </c>
      <c r="L253" s="83"/>
      <c r="M253" s="11"/>
      <c r="N253" s="5" t="s">
        <v>154</v>
      </c>
      <c r="O253" s="5" t="s">
        <v>319</v>
      </c>
    </row>
    <row r="254" spans="1:16" x14ac:dyDescent="0.35">
      <c r="B254" s="156" t="s">
        <v>66</v>
      </c>
      <c r="C254" s="98" t="e" vm="11">
        <v>#VALUE!</v>
      </c>
      <c r="D254" s="52" t="e" vm="11">
        <v>#VALUE!</v>
      </c>
      <c r="E254" s="52" cm="1">
        <f t="array" aca="1" ref="E254" ca="1">_FV(D254,"Price")</f>
        <v>396.80220000000003</v>
      </c>
      <c r="F254" s="52">
        <v>469.97</v>
      </c>
      <c r="G254" s="54">
        <v>64</v>
      </c>
      <c r="H254" s="52">
        <f t="shared" si="124"/>
        <v>30078.080000000002</v>
      </c>
      <c r="I254" s="52" t="s">
        <v>5</v>
      </c>
      <c r="J254" s="68"/>
      <c r="K254" s="69"/>
      <c r="L254" s="83"/>
      <c r="M254" s="126"/>
    </row>
    <row r="255" spans="1:16" x14ac:dyDescent="0.35">
      <c r="B255" s="180"/>
      <c r="C255" s="52" t="s">
        <v>37</v>
      </c>
      <c r="D255" s="52" t="str">
        <f t="shared" ref="D255:D260" si="129">C255</f>
        <v>TSLA</v>
      </c>
      <c r="E255" s="52">
        <f ca="1">E254</f>
        <v>396.80220000000003</v>
      </c>
      <c r="F255" s="52">
        <v>481.04</v>
      </c>
      <c r="G255" s="54">
        <f>G254</f>
        <v>64</v>
      </c>
      <c r="H255" s="52">
        <f t="shared" si="124"/>
        <v>30786.560000000001</v>
      </c>
      <c r="I255" s="52"/>
      <c r="J255" s="10">
        <f>H255-H254</f>
        <v>708.47999999999956</v>
      </c>
      <c r="K255" s="7">
        <f>(H255/H254)-100%</f>
        <v>2.3554694980530755E-2</v>
      </c>
      <c r="L255" s="83"/>
      <c r="M255" s="11"/>
    </row>
    <row r="256" spans="1:16" ht="14.65" customHeight="1" x14ac:dyDescent="0.35">
      <c r="B256" s="156" t="s">
        <v>155</v>
      </c>
      <c r="C256" s="52" t="e" vm="34">
        <v>#VALUE!</v>
      </c>
      <c r="D256" s="52" t="e" vm="34">
        <f t="shared" si="129"/>
        <v>#VALUE!</v>
      </c>
      <c r="E256" s="52" cm="1">
        <f t="array" aca="1" ref="E256" ca="1">_FV(D256,"Price")</f>
        <v>599.91999999999996</v>
      </c>
      <c r="F256" s="52">
        <v>518.47</v>
      </c>
      <c r="G256" s="54">
        <v>47</v>
      </c>
      <c r="H256" s="52">
        <f t="shared" si="124"/>
        <v>24368.09</v>
      </c>
      <c r="I256" s="52" t="s">
        <v>5</v>
      </c>
      <c r="J256" s="68"/>
      <c r="K256" s="69"/>
      <c r="L256" s="83"/>
      <c r="M256" s="126"/>
    </row>
    <row r="257" spans="2:16" x14ac:dyDescent="0.35">
      <c r="B257" s="180"/>
      <c r="C257" s="52" t="s">
        <v>156</v>
      </c>
      <c r="D257" s="52" t="str">
        <f t="shared" si="129"/>
        <v>QQQ ETF</v>
      </c>
      <c r="E257" s="52">
        <f ca="1">E256</f>
        <v>599.91999999999996</v>
      </c>
      <c r="F257" s="52">
        <v>529.61500000000001</v>
      </c>
      <c r="G257" s="54">
        <f>G256</f>
        <v>47</v>
      </c>
      <c r="H257" s="52">
        <f t="shared" si="124"/>
        <v>24891.904999999999</v>
      </c>
      <c r="I257" s="52"/>
      <c r="J257" s="10">
        <f>H257-H256</f>
        <v>523.81499999999869</v>
      </c>
      <c r="K257" s="7">
        <f>(H257/H256)-100%</f>
        <v>2.1495939977240752E-2</v>
      </c>
      <c r="L257" s="83"/>
      <c r="M257" s="11"/>
      <c r="N257" s="5" t="s">
        <v>157</v>
      </c>
      <c r="O257" s="5" t="s">
        <v>158</v>
      </c>
    </row>
    <row r="258" spans="2:16" ht="14.65" customHeight="1" x14ac:dyDescent="0.35">
      <c r="B258" s="186" t="s">
        <v>35</v>
      </c>
      <c r="C258" s="52" t="e" vm="30">
        <v>#VALUE!</v>
      </c>
      <c r="D258" s="53" t="e" vm="30">
        <f t="shared" si="129"/>
        <v>#VALUE!</v>
      </c>
      <c r="E258" s="52" cm="1">
        <f t="array" aca="1" ref="E258" ca="1">_FV(D258,"Price")</f>
        <v>192.33</v>
      </c>
      <c r="F258" s="52">
        <v>120.09</v>
      </c>
      <c r="G258" s="54">
        <v>25</v>
      </c>
      <c r="H258" s="52">
        <f t="shared" ref="H258:H263" si="130">F258*G258</f>
        <v>3002.25</v>
      </c>
      <c r="I258" s="54" t="s">
        <v>5</v>
      </c>
      <c r="J258" s="10"/>
      <c r="K258" s="7"/>
      <c r="L258" s="83"/>
      <c r="M258" s="11"/>
    </row>
    <row r="259" spans="2:16" x14ac:dyDescent="0.35">
      <c r="B259" s="187"/>
      <c r="C259" s="52" t="s">
        <v>123</v>
      </c>
      <c r="D259" s="53" t="str">
        <f t="shared" si="129"/>
        <v>AMD</v>
      </c>
      <c r="E259" s="53">
        <f ca="1">E258</f>
        <v>192.33</v>
      </c>
      <c r="F259" s="52">
        <v>120.93</v>
      </c>
      <c r="G259" s="54">
        <f>G258</f>
        <v>25</v>
      </c>
      <c r="H259" s="52">
        <f t="shared" si="130"/>
        <v>3023.25</v>
      </c>
      <c r="I259" s="54"/>
      <c r="J259" s="10">
        <f>H259-H258</f>
        <v>21</v>
      </c>
      <c r="K259" s="7">
        <f>(H259/H258)-100%</f>
        <v>6.9947539345491805E-3</v>
      </c>
      <c r="L259" s="83"/>
      <c r="M259" s="11"/>
      <c r="N259" s="5" t="s">
        <v>157</v>
      </c>
      <c r="O259" s="5" t="s">
        <v>159</v>
      </c>
      <c r="P259" s="5" t="s">
        <v>160</v>
      </c>
    </row>
    <row r="260" spans="2:16" x14ac:dyDescent="0.35">
      <c r="B260" s="188" t="s">
        <v>395</v>
      </c>
      <c r="C260" s="52" t="e" vm="25">
        <v>#VALUE!</v>
      </c>
      <c r="D260" s="52" t="e" vm="25">
        <f t="shared" si="129"/>
        <v>#VALUE!</v>
      </c>
      <c r="E260" s="52" cm="1">
        <f t="array" aca="1" ref="E260" ca="1">_FV(D260,"Price")</f>
        <v>177.64</v>
      </c>
      <c r="F260" s="52">
        <v>135.94</v>
      </c>
      <c r="G260" s="54">
        <v>2</v>
      </c>
      <c r="H260" s="52">
        <f t="shared" si="130"/>
        <v>271.88</v>
      </c>
      <c r="I260" s="52" t="s">
        <v>5</v>
      </c>
      <c r="J260" s="10"/>
      <c r="K260" s="7"/>
      <c r="L260" s="83"/>
      <c r="M260" s="11"/>
    </row>
    <row r="261" spans="2:16" x14ac:dyDescent="0.35">
      <c r="B261" s="189"/>
      <c r="C261" s="52" t="s">
        <v>101</v>
      </c>
      <c r="D261" s="52" t="str">
        <f t="shared" ref="D261:D264" si="131">C261</f>
        <v>NVDA</v>
      </c>
      <c r="E261" s="52">
        <f ca="1">E260</f>
        <v>177.64</v>
      </c>
      <c r="F261" s="52">
        <v>141.06</v>
      </c>
      <c r="G261" s="54">
        <f>G260</f>
        <v>2</v>
      </c>
      <c r="H261" s="52">
        <f t="shared" si="130"/>
        <v>282.12</v>
      </c>
      <c r="I261" s="52"/>
      <c r="J261" s="10">
        <f>H261-H260</f>
        <v>10.240000000000009</v>
      </c>
      <c r="K261" s="7">
        <f>(H261/H260)-100%</f>
        <v>3.7663675150801934E-2</v>
      </c>
      <c r="L261" s="83"/>
      <c r="M261" s="11"/>
      <c r="N261" s="5" t="s">
        <v>161</v>
      </c>
      <c r="O261" s="5" t="s">
        <v>145</v>
      </c>
    </row>
    <row r="262" spans="2:16" ht="14.65" customHeight="1" x14ac:dyDescent="0.35">
      <c r="B262" s="156" t="s">
        <v>162</v>
      </c>
      <c r="C262" s="52" t="e" vm="35">
        <v>#VALUE!</v>
      </c>
      <c r="D262" s="52" t="e" vm="35">
        <f t="shared" si="131"/>
        <v>#VALUE!</v>
      </c>
      <c r="E262" s="52" cm="1">
        <f t="array" aca="1" ref="E262" ca="1">_FV(D262,"Price")</f>
        <v>73.436800000000005</v>
      </c>
      <c r="F262" s="52">
        <v>29.39</v>
      </c>
      <c r="G262" s="54">
        <v>193</v>
      </c>
      <c r="H262" s="52">
        <f t="shared" si="130"/>
        <v>5672.27</v>
      </c>
      <c r="I262" s="52" t="s">
        <v>5</v>
      </c>
      <c r="J262" s="68"/>
      <c r="K262" s="69"/>
      <c r="L262" s="83"/>
      <c r="M262" s="126"/>
      <c r="N262" s="5" t="s">
        <v>163</v>
      </c>
      <c r="O262" s="5" t="s">
        <v>164</v>
      </c>
    </row>
    <row r="263" spans="2:16" x14ac:dyDescent="0.35">
      <c r="B263" s="180"/>
      <c r="C263" s="52" t="s">
        <v>165</v>
      </c>
      <c r="D263" s="52" t="str">
        <f t="shared" si="131"/>
        <v>SQQQ ETF</v>
      </c>
      <c r="E263" s="52">
        <f ca="1">E262</f>
        <v>73.436800000000005</v>
      </c>
      <c r="F263" s="52">
        <v>30.35</v>
      </c>
      <c r="G263" s="54">
        <f>G262</f>
        <v>193</v>
      </c>
      <c r="H263" s="52">
        <f t="shared" si="130"/>
        <v>5857.55</v>
      </c>
      <c r="I263" s="52"/>
      <c r="J263" s="10">
        <f>H263-H262</f>
        <v>185.27999999999975</v>
      </c>
      <c r="K263" s="7">
        <f>(H263/H262)-100%</f>
        <v>3.2664171486900262E-2</v>
      </c>
      <c r="L263" s="83"/>
      <c r="M263" s="11"/>
    </row>
    <row r="264" spans="2:16" ht="14.65" customHeight="1" x14ac:dyDescent="0.35">
      <c r="B264" s="175" t="s">
        <v>162</v>
      </c>
      <c r="C264" s="52" t="e" vm="25">
        <v>#VALUE!</v>
      </c>
      <c r="D264" s="52" t="e" vm="25">
        <f t="shared" si="131"/>
        <v>#VALUE!</v>
      </c>
      <c r="E264" s="52" cm="1">
        <f t="array" aca="1" ref="E264" ca="1">_FV(D264,"Price")</f>
        <v>177.64</v>
      </c>
      <c r="F264" s="52">
        <v>127.58</v>
      </c>
      <c r="G264" s="54">
        <v>10</v>
      </c>
      <c r="H264" s="52">
        <f t="shared" ref="H264:H265" si="132">F264*G264</f>
        <v>1275.8</v>
      </c>
      <c r="I264" s="52" t="s">
        <v>5</v>
      </c>
      <c r="J264" s="68"/>
      <c r="K264" s="69"/>
      <c r="L264" s="83"/>
      <c r="M264" s="126"/>
      <c r="N264" s="5" t="s">
        <v>166</v>
      </c>
      <c r="O264" s="5" t="s">
        <v>97</v>
      </c>
    </row>
    <row r="265" spans="2:16" x14ac:dyDescent="0.35">
      <c r="B265" s="176"/>
      <c r="C265" s="52" t="s">
        <v>101</v>
      </c>
      <c r="D265" s="52" t="str">
        <f t="shared" ref="D265:D266" si="133">C265</f>
        <v>NVDA</v>
      </c>
      <c r="E265" s="52">
        <f ca="1">E264</f>
        <v>177.64</v>
      </c>
      <c r="F265" s="52">
        <v>115.5</v>
      </c>
      <c r="G265" s="54">
        <f>G264</f>
        <v>10</v>
      </c>
      <c r="H265" s="52">
        <f t="shared" si="132"/>
        <v>1155</v>
      </c>
      <c r="I265" s="52"/>
      <c r="J265" s="10">
        <f>H265-H264</f>
        <v>-120.79999999999995</v>
      </c>
      <c r="K265" s="7">
        <f>(H265/H264)-100%</f>
        <v>-9.4685687411820041E-2</v>
      </c>
      <c r="L265" s="83"/>
      <c r="M265" s="11"/>
    </row>
    <row r="266" spans="2:16" x14ac:dyDescent="0.35">
      <c r="B266" s="193" t="s">
        <v>142</v>
      </c>
      <c r="C266" s="52" t="e" vm="25">
        <v>#VALUE!</v>
      </c>
      <c r="D266" s="52" t="e" vm="25">
        <f t="shared" si="133"/>
        <v>#VALUE!</v>
      </c>
      <c r="E266" s="52" cm="1">
        <f t="array" aca="1" ref="E266" ca="1">_FV(D266,"Price")</f>
        <v>177.64</v>
      </c>
      <c r="F266" s="52">
        <v>119.19</v>
      </c>
      <c r="G266" s="54">
        <v>12</v>
      </c>
      <c r="H266" s="52">
        <f t="shared" ref="H266:H269" si="134">F266*G266</f>
        <v>1430.28</v>
      </c>
      <c r="I266" s="52" t="s">
        <v>5</v>
      </c>
      <c r="J266" s="10"/>
      <c r="K266" s="7"/>
      <c r="L266" s="83"/>
      <c r="M266" s="11"/>
    </row>
    <row r="267" spans="2:16" x14ac:dyDescent="0.35">
      <c r="B267" s="194"/>
      <c r="C267" s="52" t="s">
        <v>101</v>
      </c>
      <c r="D267" s="52" t="str">
        <f t="shared" ref="D267" si="135">C267</f>
        <v>NVDA</v>
      </c>
      <c r="E267" s="52">
        <f ca="1">E266</f>
        <v>177.64</v>
      </c>
      <c r="F267" s="52">
        <v>134.18</v>
      </c>
      <c r="G267" s="54">
        <f>G266</f>
        <v>12</v>
      </c>
      <c r="H267" s="52">
        <f t="shared" si="134"/>
        <v>1610.16</v>
      </c>
      <c r="I267" s="52"/>
      <c r="J267" s="10">
        <f>H267-H266</f>
        <v>179.88000000000011</v>
      </c>
      <c r="K267" s="7">
        <f>(H267/H266)-100%</f>
        <v>0.1257655843611043</v>
      </c>
      <c r="L267" s="83"/>
      <c r="M267" s="11"/>
      <c r="N267" s="5" t="s">
        <v>166</v>
      </c>
      <c r="O267" s="5" t="s">
        <v>144</v>
      </c>
    </row>
    <row r="268" spans="2:16" ht="14.65" customHeight="1" x14ac:dyDescent="0.35">
      <c r="B268" s="175" t="s">
        <v>44</v>
      </c>
      <c r="C268" s="52" t="e" vm="36">
        <v>#VALUE!</v>
      </c>
      <c r="D268" s="52" t="e" vm="36">
        <f>C268</f>
        <v>#VALUE!</v>
      </c>
      <c r="E268" s="52" cm="1">
        <f t="array" aca="1" ref="E268" ca="1">_FV(D268,"Price")</f>
        <v>22.125</v>
      </c>
      <c r="F268" s="52">
        <v>27.31</v>
      </c>
      <c r="G268" s="54">
        <v>329</v>
      </c>
      <c r="H268" s="52">
        <f t="shared" si="134"/>
        <v>8984.99</v>
      </c>
      <c r="I268" s="52" t="s">
        <v>5</v>
      </c>
      <c r="J268" s="68"/>
      <c r="K268" s="69"/>
      <c r="L268" s="83"/>
      <c r="M268" s="126"/>
    </row>
    <row r="269" spans="2:16" x14ac:dyDescent="0.35">
      <c r="B269" s="176"/>
      <c r="C269" s="52" t="s">
        <v>167</v>
      </c>
      <c r="D269" s="52" t="str">
        <f t="shared" ref="D269" si="136">C269</f>
        <v>TSLA Q -2x SHORT</v>
      </c>
      <c r="E269" s="52">
        <f ca="1">E268</f>
        <v>22.125</v>
      </c>
      <c r="F269" s="52">
        <v>27.68</v>
      </c>
      <c r="G269" s="54">
        <f>G268</f>
        <v>329</v>
      </c>
      <c r="H269" s="52">
        <f t="shared" si="134"/>
        <v>9106.7199999999993</v>
      </c>
      <c r="I269" s="52"/>
      <c r="J269" s="10">
        <f>H269-H268</f>
        <v>121.72999999999956</v>
      </c>
      <c r="K269" s="7">
        <f>(H269/H268)-100%</f>
        <v>1.354815086049066E-2</v>
      </c>
      <c r="L269" s="83"/>
      <c r="M269" s="11"/>
      <c r="N269" s="5" t="s">
        <v>168</v>
      </c>
      <c r="O269" s="5" t="s">
        <v>97</v>
      </c>
    </row>
    <row r="270" spans="2:16" x14ac:dyDescent="0.35">
      <c r="B270" s="175" t="s">
        <v>44</v>
      </c>
      <c r="C270" s="52" t="e" vm="36">
        <v>#VALUE!</v>
      </c>
      <c r="D270" s="52" t="e" vm="36">
        <f>C270</f>
        <v>#VALUE!</v>
      </c>
      <c r="E270" s="52" cm="1">
        <f t="array" aca="1" ref="E270" ca="1">_FV(D270,"Price")</f>
        <v>22.125</v>
      </c>
      <c r="F270" s="52">
        <v>27.18</v>
      </c>
      <c r="G270" s="54">
        <v>639</v>
      </c>
      <c r="H270" s="52">
        <f t="shared" ref="H270:H271" si="137">F270*G270</f>
        <v>17368.02</v>
      </c>
      <c r="I270" s="52" t="s">
        <v>5</v>
      </c>
      <c r="J270" s="68"/>
      <c r="K270" s="69"/>
      <c r="L270" s="83"/>
      <c r="M270" s="126"/>
    </row>
    <row r="271" spans="2:16" x14ac:dyDescent="0.35">
      <c r="B271" s="176"/>
      <c r="C271" s="52" t="s">
        <v>167</v>
      </c>
      <c r="D271" s="52" t="str">
        <f t="shared" ref="D271" si="138">C271</f>
        <v>TSLA Q -2x SHORT</v>
      </c>
      <c r="E271" s="52">
        <f ca="1">E270</f>
        <v>22.125</v>
      </c>
      <c r="F271" s="52">
        <v>27.68</v>
      </c>
      <c r="G271" s="54">
        <f>G270</f>
        <v>639</v>
      </c>
      <c r="H271" s="52">
        <f t="shared" si="137"/>
        <v>17687.52</v>
      </c>
      <c r="I271" s="52"/>
      <c r="J271" s="10">
        <f>H271-H270</f>
        <v>319.5</v>
      </c>
      <c r="K271" s="7">
        <f>(H271/H270)-100%</f>
        <v>1.8395879323031661E-2</v>
      </c>
      <c r="L271" s="83"/>
      <c r="M271" s="11"/>
      <c r="N271" s="5" t="s">
        <v>169</v>
      </c>
      <c r="O271" s="5" t="s">
        <v>170</v>
      </c>
    </row>
    <row r="272" spans="2:16" x14ac:dyDescent="0.35">
      <c r="B272" s="175" t="s">
        <v>44</v>
      </c>
      <c r="C272" s="52" t="e" vm="37">
        <v>#VALUE!</v>
      </c>
      <c r="D272" s="52" t="e" vm="37">
        <f>C272</f>
        <v>#VALUE!</v>
      </c>
      <c r="E272" s="52" cm="1">
        <f t="array" aca="1" ref="E272" ca="1">_FV(D272,"Price")</f>
        <v>17.295000000000002</v>
      </c>
      <c r="F272" s="52">
        <v>3.3</v>
      </c>
      <c r="G272" s="54">
        <v>5250</v>
      </c>
      <c r="H272" s="52">
        <f t="shared" ref="H272:H273" si="139">F272*G272</f>
        <v>17325</v>
      </c>
      <c r="I272" s="52" t="s">
        <v>5</v>
      </c>
      <c r="J272" s="68"/>
      <c r="K272" s="69"/>
      <c r="L272" s="83"/>
      <c r="M272" s="126"/>
    </row>
    <row r="273" spans="2:15" x14ac:dyDescent="0.35">
      <c r="B273" s="176"/>
      <c r="C273" s="52" t="s">
        <v>171</v>
      </c>
      <c r="D273" s="52" t="str">
        <f t="shared" ref="D273" si="140">C273</f>
        <v>NVIDIA Q -2x SHORT</v>
      </c>
      <c r="E273" s="52">
        <f ca="1">E272</f>
        <v>17.295000000000002</v>
      </c>
      <c r="F273" s="52">
        <v>3.34</v>
      </c>
      <c r="G273" s="54">
        <f>G272</f>
        <v>5250</v>
      </c>
      <c r="H273" s="52">
        <f t="shared" si="139"/>
        <v>17535</v>
      </c>
      <c r="I273" s="52"/>
      <c r="J273" s="10">
        <f>H273-H272</f>
        <v>210</v>
      </c>
      <c r="K273" s="7">
        <f>(H273/H272)-100%</f>
        <v>1.2121212121212199E-2</v>
      </c>
      <c r="L273" s="83"/>
      <c r="M273" s="11"/>
      <c r="N273" s="5" t="s">
        <v>172</v>
      </c>
      <c r="O273" s="5" t="s">
        <v>170</v>
      </c>
    </row>
    <row r="274" spans="2:15" x14ac:dyDescent="0.35">
      <c r="B274" s="175" t="s">
        <v>44</v>
      </c>
      <c r="C274" s="52" t="e" vm="37">
        <v>#VALUE!</v>
      </c>
      <c r="D274" s="52" t="e" vm="37">
        <f>C274</f>
        <v>#VALUE!</v>
      </c>
      <c r="E274" s="52" cm="1">
        <f t="array" aca="1" ref="E274" ca="1">_FV(D274,"Price")</f>
        <v>17.295000000000002</v>
      </c>
      <c r="F274" s="52">
        <v>3.1080000000000001</v>
      </c>
      <c r="G274" s="54">
        <v>5700</v>
      </c>
      <c r="H274" s="52">
        <f t="shared" ref="H274:H281" si="141">F274*G274</f>
        <v>17715.600000000002</v>
      </c>
      <c r="I274" s="52" t="s">
        <v>5</v>
      </c>
      <c r="J274" s="68"/>
      <c r="K274" s="69"/>
      <c r="L274" s="83"/>
      <c r="M274" s="126"/>
    </row>
    <row r="275" spans="2:15" x14ac:dyDescent="0.35">
      <c r="B275" s="176"/>
      <c r="C275" s="52" t="s">
        <v>171</v>
      </c>
      <c r="D275" s="52" t="str">
        <f t="shared" ref="D275:D277" si="142">C275</f>
        <v>NVIDIA Q -2x SHORT</v>
      </c>
      <c r="E275" s="52">
        <f ca="1">E274</f>
        <v>17.295000000000002</v>
      </c>
      <c r="F275" s="52">
        <v>3.1419999999999999</v>
      </c>
      <c r="G275" s="54">
        <f>G274</f>
        <v>5700</v>
      </c>
      <c r="H275" s="52">
        <f t="shared" si="141"/>
        <v>17909.399999999998</v>
      </c>
      <c r="I275" s="52"/>
      <c r="J275" s="10">
        <f>H275-H274</f>
        <v>193.79999999999563</v>
      </c>
      <c r="K275" s="7">
        <f>(H275/H274)-100%</f>
        <v>1.0939510939510733E-2</v>
      </c>
      <c r="L275" s="83"/>
      <c r="M275" s="11"/>
      <c r="N275" s="5" t="s">
        <v>173</v>
      </c>
      <c r="O275" s="5" t="s">
        <v>174</v>
      </c>
    </row>
    <row r="276" spans="2:15" x14ac:dyDescent="0.35">
      <c r="B276" s="175" t="s">
        <v>44</v>
      </c>
      <c r="C276" s="52" t="e" vm="25">
        <v>#VALUE!</v>
      </c>
      <c r="D276" s="52" t="e" vm="25">
        <f t="shared" si="142"/>
        <v>#VALUE!</v>
      </c>
      <c r="E276" s="52" cm="1">
        <f t="array" aca="1" ref="E276" ca="1">_FV(D276,"Price")</f>
        <v>177.64</v>
      </c>
      <c r="F276" s="52">
        <v>128.38999999999999</v>
      </c>
      <c r="G276" s="54">
        <v>139</v>
      </c>
      <c r="H276" s="52">
        <f t="shared" si="141"/>
        <v>17846.21</v>
      </c>
      <c r="I276" s="52" t="s">
        <v>5</v>
      </c>
      <c r="J276" s="68"/>
      <c r="K276" s="69"/>
      <c r="L276" s="83"/>
      <c r="M276" s="126"/>
    </row>
    <row r="277" spans="2:15" x14ac:dyDescent="0.35">
      <c r="B277" s="176"/>
      <c r="C277" s="52" t="s">
        <v>101</v>
      </c>
      <c r="D277" s="52" t="str">
        <f t="shared" si="142"/>
        <v>NVDA</v>
      </c>
      <c r="E277" s="52">
        <f ca="1">E276</f>
        <v>177.64</v>
      </c>
      <c r="F277" s="52">
        <v>129.43</v>
      </c>
      <c r="G277" s="54">
        <f>G276</f>
        <v>139</v>
      </c>
      <c r="H277" s="52">
        <f t="shared" si="141"/>
        <v>17990.77</v>
      </c>
      <c r="I277" s="52"/>
      <c r="J277" s="10">
        <f>H277-H276</f>
        <v>144.56000000000131</v>
      </c>
      <c r="K277" s="7">
        <f>(H277/H276)-100%</f>
        <v>8.1003193395126072E-3</v>
      </c>
      <c r="L277" s="83"/>
      <c r="M277" s="11"/>
      <c r="N277" s="5" t="s">
        <v>175</v>
      </c>
      <c r="O277" s="5" t="s">
        <v>176</v>
      </c>
    </row>
    <row r="278" spans="2:15" x14ac:dyDescent="0.35">
      <c r="B278" s="175" t="s">
        <v>44</v>
      </c>
      <c r="C278" s="52" t="e" vm="36">
        <v>#VALUE!</v>
      </c>
      <c r="D278" s="52" t="e" vm="36">
        <f>C278</f>
        <v>#VALUE!</v>
      </c>
      <c r="E278" s="52" cm="1">
        <f t="array" aca="1" ref="E278" ca="1">_FV(D278,"Price")</f>
        <v>22.125</v>
      </c>
      <c r="F278" s="52">
        <v>30.917000000000002</v>
      </c>
      <c r="G278" s="54">
        <v>589</v>
      </c>
      <c r="H278" s="52">
        <f t="shared" si="141"/>
        <v>18210.113000000001</v>
      </c>
      <c r="I278" s="52" t="s">
        <v>5</v>
      </c>
      <c r="J278" s="68"/>
      <c r="K278" s="69"/>
      <c r="L278" s="83"/>
      <c r="M278" s="126"/>
    </row>
    <row r="279" spans="2:15" x14ac:dyDescent="0.35">
      <c r="B279" s="176"/>
      <c r="C279" s="52" t="s">
        <v>167</v>
      </c>
      <c r="D279" s="52" t="str">
        <f t="shared" ref="D279" si="143">C279</f>
        <v>TSLA Q -2x SHORT</v>
      </c>
      <c r="E279" s="52">
        <f ca="1">E278</f>
        <v>22.125</v>
      </c>
      <c r="F279" s="52">
        <v>31.33</v>
      </c>
      <c r="G279" s="54">
        <f>G278</f>
        <v>589</v>
      </c>
      <c r="H279" s="52">
        <f t="shared" si="141"/>
        <v>18453.37</v>
      </c>
      <c r="I279" s="52"/>
      <c r="J279" s="10">
        <f>H279-H278</f>
        <v>243.25699999999779</v>
      </c>
      <c r="K279" s="7">
        <f>(H279/H278)-100%</f>
        <v>1.3358346540738086E-2</v>
      </c>
      <c r="L279" s="83"/>
      <c r="M279" s="11"/>
      <c r="N279" s="5" t="s">
        <v>177</v>
      </c>
      <c r="O279" s="5" t="s">
        <v>158</v>
      </c>
    </row>
    <row r="280" spans="2:15" x14ac:dyDescent="0.35">
      <c r="B280" s="175" t="s">
        <v>44</v>
      </c>
      <c r="C280" s="52" t="e" vm="11">
        <v>#VALUE!</v>
      </c>
      <c r="D280" s="52" t="e" vm="11">
        <v>#VALUE!</v>
      </c>
      <c r="E280" s="52" cm="1">
        <f t="array" aca="1" ref="E280" ca="1">_FV(D280,"Price")</f>
        <v>396.80220000000003</v>
      </c>
      <c r="F280" s="52">
        <v>343.06</v>
      </c>
      <c r="G280" s="54">
        <v>52</v>
      </c>
      <c r="H280" s="52">
        <f t="shared" si="141"/>
        <v>17839.12</v>
      </c>
      <c r="I280" s="52" t="s">
        <v>5</v>
      </c>
      <c r="J280" s="10"/>
      <c r="K280" s="7"/>
      <c r="L280" s="83"/>
      <c r="M280" s="11"/>
    </row>
    <row r="281" spans="2:15" x14ac:dyDescent="0.35">
      <c r="B281" s="176"/>
      <c r="C281" s="52" t="s">
        <v>37</v>
      </c>
      <c r="D281" s="52" t="str">
        <f t="shared" ref="D281" si="144">C281</f>
        <v>TSLA</v>
      </c>
      <c r="E281" s="52">
        <f ca="1">E280</f>
        <v>396.80220000000003</v>
      </c>
      <c r="F281" s="52">
        <v>339.45</v>
      </c>
      <c r="G281" s="54">
        <f>G280</f>
        <v>52</v>
      </c>
      <c r="H281" s="52">
        <f t="shared" si="141"/>
        <v>17651.399999999998</v>
      </c>
      <c r="I281" s="52"/>
      <c r="J281" s="10">
        <f>H281-H280</f>
        <v>-187.72000000000116</v>
      </c>
      <c r="K281" s="7">
        <f>(H281/H280)-100%</f>
        <v>-1.0522940593482244E-2</v>
      </c>
      <c r="L281" s="83"/>
      <c r="M281" s="11"/>
      <c r="N281" s="5" t="s">
        <v>178</v>
      </c>
      <c r="O281" s="5" t="s">
        <v>179</v>
      </c>
    </row>
    <row r="282" spans="2:15" ht="14.65" customHeight="1" x14ac:dyDescent="0.35">
      <c r="B282" s="166" t="s">
        <v>155</v>
      </c>
      <c r="C282" s="52" t="e" vm="37">
        <v>#VALUE!</v>
      </c>
      <c r="D282" s="52" t="e" vm="37">
        <f>C282</f>
        <v>#VALUE!</v>
      </c>
      <c r="E282" s="52" cm="1">
        <f t="array" aca="1" ref="E282" ca="1">_FV(D282,"Price")</f>
        <v>17.295000000000002</v>
      </c>
      <c r="F282" s="52">
        <v>2.81</v>
      </c>
      <c r="G282" s="54">
        <v>8800</v>
      </c>
      <c r="H282" s="52">
        <f t="shared" ref="H282:H283" si="145">F282*G282</f>
        <v>24728</v>
      </c>
      <c r="I282" s="52" t="s">
        <v>5</v>
      </c>
      <c r="J282" s="68"/>
      <c r="K282" s="69"/>
      <c r="L282" s="83"/>
      <c r="M282" s="126"/>
    </row>
    <row r="283" spans="2:15" x14ac:dyDescent="0.35">
      <c r="B283" s="176"/>
      <c r="C283" s="52" t="s">
        <v>171</v>
      </c>
      <c r="D283" s="52" t="str">
        <f t="shared" ref="D283" si="146">C283</f>
        <v>NVIDIA Q -2x SHORT</v>
      </c>
      <c r="E283" s="52">
        <f ca="1">E282</f>
        <v>17.295000000000002</v>
      </c>
      <c r="F283" s="52">
        <v>2.85</v>
      </c>
      <c r="G283" s="54">
        <f>G282</f>
        <v>8800</v>
      </c>
      <c r="H283" s="52">
        <f t="shared" si="145"/>
        <v>25080</v>
      </c>
      <c r="I283" s="52"/>
      <c r="J283" s="10">
        <f>H283-H282</f>
        <v>352</v>
      </c>
      <c r="K283" s="7">
        <f>(H283/H282)-100%</f>
        <v>1.4234875444839812E-2</v>
      </c>
      <c r="L283" s="83"/>
      <c r="M283" s="11"/>
      <c r="N283" s="5" t="s">
        <v>178</v>
      </c>
      <c r="O283" s="5" t="s">
        <v>180</v>
      </c>
    </row>
    <row r="284" spans="2:15" ht="14.65" customHeight="1" x14ac:dyDescent="0.35">
      <c r="B284" s="166" t="s">
        <v>155</v>
      </c>
      <c r="C284" s="52" t="e" vm="37">
        <v>#VALUE!</v>
      </c>
      <c r="D284" s="52" t="e" vm="37">
        <f>C284</f>
        <v>#VALUE!</v>
      </c>
      <c r="E284" s="52" cm="1">
        <f t="array" aca="1" ref="E284" ca="1">_FV(D284,"Price")</f>
        <v>17.295000000000002</v>
      </c>
      <c r="F284" s="52">
        <v>2.89</v>
      </c>
      <c r="G284" s="54">
        <v>8750</v>
      </c>
      <c r="H284" s="52">
        <f t="shared" ref="H284:H287" si="147">F284*G284</f>
        <v>25287.5</v>
      </c>
      <c r="I284" s="52" t="s">
        <v>5</v>
      </c>
      <c r="J284" s="68"/>
      <c r="K284" s="69"/>
      <c r="L284" s="83"/>
      <c r="M284" s="126"/>
    </row>
    <row r="285" spans="2:15" x14ac:dyDescent="0.35">
      <c r="B285" s="176"/>
      <c r="C285" s="52" t="s">
        <v>171</v>
      </c>
      <c r="D285" s="52" t="str">
        <f t="shared" ref="D285" si="148">C285</f>
        <v>NVIDIA Q -2x SHORT</v>
      </c>
      <c r="E285" s="52">
        <f ca="1">E284</f>
        <v>17.295000000000002</v>
      </c>
      <c r="F285" s="52">
        <v>2.86</v>
      </c>
      <c r="G285" s="54">
        <f>G284</f>
        <v>8750</v>
      </c>
      <c r="H285" s="52">
        <f t="shared" si="147"/>
        <v>25025</v>
      </c>
      <c r="I285" s="52"/>
      <c r="J285" s="10">
        <f>H285-H284</f>
        <v>-262.5</v>
      </c>
      <c r="K285" s="7">
        <f>(H285/H284)-100%</f>
        <v>-1.038062283737029E-2</v>
      </c>
      <c r="L285" s="83"/>
      <c r="M285" s="11"/>
      <c r="N285" s="5" t="s">
        <v>178</v>
      </c>
      <c r="O285" s="5" t="s">
        <v>180</v>
      </c>
    </row>
    <row r="286" spans="2:15" ht="35.15" customHeight="1" x14ac:dyDescent="0.35">
      <c r="B286" s="166" t="s">
        <v>155</v>
      </c>
      <c r="C286" s="52" t="e" vm="36">
        <v>#VALUE!</v>
      </c>
      <c r="D286" s="52" t="e" vm="36">
        <f>C286</f>
        <v>#VALUE!</v>
      </c>
      <c r="E286" s="52" cm="1">
        <f t="array" aca="1" ref="E286" ca="1">_FV(D286,"Price")</f>
        <v>22.125</v>
      </c>
      <c r="F286" s="52">
        <v>35.590000000000003</v>
      </c>
      <c r="G286" s="54">
        <v>702</v>
      </c>
      <c r="H286" s="52">
        <f t="shared" si="147"/>
        <v>24984.180000000004</v>
      </c>
      <c r="I286" s="52" t="s">
        <v>5</v>
      </c>
      <c r="J286" s="68"/>
      <c r="K286" s="69"/>
      <c r="L286" s="83"/>
      <c r="M286" s="126"/>
    </row>
    <row r="287" spans="2:15" x14ac:dyDescent="0.35">
      <c r="B287" s="167"/>
      <c r="C287" s="52" t="s">
        <v>167</v>
      </c>
      <c r="D287" s="52" t="str">
        <f t="shared" ref="D287" si="149">C287</f>
        <v>TSLA Q -2x SHORT</v>
      </c>
      <c r="E287" s="52">
        <f ca="1">E286</f>
        <v>22.125</v>
      </c>
      <c r="F287" s="52">
        <v>31.8</v>
      </c>
      <c r="G287" s="54">
        <f>G286</f>
        <v>702</v>
      </c>
      <c r="H287" s="52">
        <f t="shared" si="147"/>
        <v>22323.600000000002</v>
      </c>
      <c r="I287" s="52"/>
      <c r="J287" s="10">
        <f>H287-H286</f>
        <v>-2660.5800000000017</v>
      </c>
      <c r="K287" s="7">
        <f>(H287/H286)-100%</f>
        <v>-0.10649058724360783</v>
      </c>
      <c r="L287" s="83"/>
      <c r="M287" s="11"/>
      <c r="N287" s="5" t="s">
        <v>181</v>
      </c>
      <c r="O287" s="5" t="s">
        <v>182</v>
      </c>
    </row>
    <row r="288" spans="2:15" ht="14.65" customHeight="1" x14ac:dyDescent="0.35">
      <c r="B288" s="175" t="s">
        <v>44</v>
      </c>
      <c r="C288" s="52" t="e" vm="36">
        <v>#VALUE!</v>
      </c>
      <c r="D288" s="52" t="e" vm="36">
        <f>C288</f>
        <v>#VALUE!</v>
      </c>
      <c r="E288" s="52" cm="1">
        <f t="array" aca="1" ref="E288" ca="1">_FV(D288,"Price")</f>
        <v>22.125</v>
      </c>
      <c r="F288" s="52">
        <v>34.11</v>
      </c>
      <c r="G288" s="54">
        <v>530</v>
      </c>
      <c r="H288" s="52">
        <f t="shared" ref="H288:H289" si="150">F288*G288</f>
        <v>18078.3</v>
      </c>
      <c r="I288" s="52" t="s">
        <v>5</v>
      </c>
      <c r="J288" s="68"/>
      <c r="K288" s="69"/>
      <c r="L288" s="83"/>
      <c r="M288" s="126"/>
    </row>
    <row r="289" spans="2:16" x14ac:dyDescent="0.35">
      <c r="B289" s="176"/>
      <c r="C289" s="52" t="s">
        <v>167</v>
      </c>
      <c r="D289" s="52" t="str">
        <f t="shared" ref="D289" si="151">C289</f>
        <v>TSLA Q -2x SHORT</v>
      </c>
      <c r="E289" s="52">
        <f ca="1">E288</f>
        <v>22.125</v>
      </c>
      <c r="F289" s="52">
        <v>34.880000000000003</v>
      </c>
      <c r="G289" s="54">
        <f>G288</f>
        <v>530</v>
      </c>
      <c r="H289" s="52">
        <f t="shared" si="150"/>
        <v>18486.400000000001</v>
      </c>
      <c r="I289" s="52"/>
      <c r="J289" s="10">
        <f>H289-H288</f>
        <v>408.10000000000218</v>
      </c>
      <c r="K289" s="7">
        <f>(H289/H288)-100%</f>
        <v>2.2574025212547699E-2</v>
      </c>
      <c r="L289" s="83"/>
      <c r="M289" s="11"/>
      <c r="N289" s="5" t="s">
        <v>181</v>
      </c>
      <c r="O289" s="5" t="s">
        <v>179</v>
      </c>
    </row>
    <row r="290" spans="2:16" x14ac:dyDescent="0.35">
      <c r="B290" s="175" t="s">
        <v>44</v>
      </c>
      <c r="C290" s="52" t="e" vm="36">
        <v>#VALUE!</v>
      </c>
      <c r="D290" s="52" t="e" vm="36">
        <f>C290</f>
        <v>#VALUE!</v>
      </c>
      <c r="E290" s="52" cm="1">
        <f t="array" aca="1" ref="E290" ca="1">_FV(D290,"Price")</f>
        <v>22.125</v>
      </c>
      <c r="F290" s="52">
        <v>31.37</v>
      </c>
      <c r="G290" s="54">
        <v>587</v>
      </c>
      <c r="H290" s="52">
        <f t="shared" ref="H290:H291" si="152">F290*G290</f>
        <v>18414.190000000002</v>
      </c>
      <c r="I290" s="52" t="s">
        <v>5</v>
      </c>
      <c r="J290" s="68"/>
      <c r="K290" s="69"/>
      <c r="L290" s="83"/>
      <c r="M290" s="126"/>
    </row>
    <row r="291" spans="2:16" x14ac:dyDescent="0.35">
      <c r="B291" s="176"/>
      <c r="C291" s="52" t="s">
        <v>167</v>
      </c>
      <c r="D291" s="52" t="str">
        <f t="shared" ref="D291" si="153">C291</f>
        <v>TSLA Q -2x SHORT</v>
      </c>
      <c r="E291" s="52">
        <f ca="1">E290</f>
        <v>22.125</v>
      </c>
      <c r="F291" s="52">
        <v>32.380000000000003</v>
      </c>
      <c r="G291" s="54">
        <f>G290</f>
        <v>587</v>
      </c>
      <c r="H291" s="52">
        <f t="shared" si="152"/>
        <v>19007.060000000001</v>
      </c>
      <c r="I291" s="52"/>
      <c r="J291" s="10">
        <f>H291-H290</f>
        <v>592.86999999999898</v>
      </c>
      <c r="K291" s="7">
        <f>(H291/H290)-100%</f>
        <v>3.2196365954733741E-2</v>
      </c>
      <c r="L291" s="83"/>
      <c r="M291" s="11"/>
      <c r="N291" s="5" t="s">
        <v>183</v>
      </c>
      <c r="O291" s="5" t="s">
        <v>184</v>
      </c>
    </row>
    <row r="292" spans="2:16" x14ac:dyDescent="0.35">
      <c r="B292" s="175" t="s">
        <v>44</v>
      </c>
      <c r="C292" s="52" t="e" vm="36">
        <v>#VALUE!</v>
      </c>
      <c r="D292" s="52" t="e" vm="36">
        <f>C292</f>
        <v>#VALUE!</v>
      </c>
      <c r="E292" s="52" cm="1">
        <f t="array" aca="1" ref="E292" ca="1">_FV(D292,"Price")</f>
        <v>22.125</v>
      </c>
      <c r="F292" s="52">
        <v>31.68</v>
      </c>
      <c r="G292" s="54">
        <v>604</v>
      </c>
      <c r="H292" s="52">
        <f t="shared" ref="H292:H297" si="154">F292*G292</f>
        <v>19134.72</v>
      </c>
      <c r="I292" s="52" t="s">
        <v>5</v>
      </c>
      <c r="J292" s="68"/>
      <c r="K292" s="69"/>
      <c r="L292" s="83"/>
      <c r="M292" s="126"/>
    </row>
    <row r="293" spans="2:16" x14ac:dyDescent="0.35">
      <c r="B293" s="176"/>
      <c r="C293" s="52" t="s">
        <v>167</v>
      </c>
      <c r="D293" s="52" t="str">
        <f t="shared" ref="D293" si="155">C293</f>
        <v>TSLA Q -2x SHORT</v>
      </c>
      <c r="E293" s="52">
        <f ca="1">E292</f>
        <v>22.125</v>
      </c>
      <c r="F293" s="52">
        <v>30.94</v>
      </c>
      <c r="G293" s="54">
        <f>G292</f>
        <v>604</v>
      </c>
      <c r="H293" s="52">
        <f t="shared" si="154"/>
        <v>18687.760000000002</v>
      </c>
      <c r="I293" s="52"/>
      <c r="J293" s="10">
        <f>H293-H292</f>
        <v>-446.95999999999913</v>
      </c>
      <c r="K293" s="7">
        <f>(H293/H292)-100%</f>
        <v>-2.3358585858585856E-2</v>
      </c>
      <c r="L293" s="83"/>
      <c r="M293" s="11"/>
      <c r="N293" s="5" t="s">
        <v>183</v>
      </c>
      <c r="O293" s="5" t="s">
        <v>185</v>
      </c>
    </row>
    <row r="294" spans="2:16" x14ac:dyDescent="0.35">
      <c r="B294" s="175" t="s">
        <v>44</v>
      </c>
      <c r="C294" s="52" t="e" vm="11">
        <v>#VALUE!</v>
      </c>
      <c r="D294" s="52" t="e" vm="11">
        <v>#VALUE!</v>
      </c>
      <c r="E294" s="52" cm="1">
        <f t="array" aca="1" ref="E294" ca="1">_FV(D294,"Price")</f>
        <v>396.80220000000003</v>
      </c>
      <c r="F294" s="52">
        <v>354.14</v>
      </c>
      <c r="G294" s="54">
        <v>52</v>
      </c>
      <c r="H294" s="52">
        <f t="shared" si="154"/>
        <v>18415.28</v>
      </c>
      <c r="I294" s="52" t="s">
        <v>5</v>
      </c>
      <c r="J294" s="10"/>
      <c r="K294" s="7"/>
      <c r="L294" s="83"/>
      <c r="M294" s="11"/>
    </row>
    <row r="295" spans="2:16" x14ac:dyDescent="0.35">
      <c r="B295" s="176"/>
      <c r="C295" s="52" t="s">
        <v>37</v>
      </c>
      <c r="D295" s="52" t="str">
        <f t="shared" ref="D295:D297" si="156">C295</f>
        <v>TSLA</v>
      </c>
      <c r="E295" s="52">
        <f ca="1">E294</f>
        <v>396.80220000000003</v>
      </c>
      <c r="F295" s="52">
        <v>355</v>
      </c>
      <c r="G295" s="54">
        <f>G294</f>
        <v>52</v>
      </c>
      <c r="H295" s="52">
        <f t="shared" si="154"/>
        <v>18460</v>
      </c>
      <c r="I295" s="52"/>
      <c r="J295" s="10">
        <f>H295-H294</f>
        <v>44.720000000001164</v>
      </c>
      <c r="K295" s="7">
        <f>(H295/H294)-100%</f>
        <v>2.4284181397187243E-3</v>
      </c>
      <c r="L295" s="83"/>
      <c r="M295" s="11"/>
      <c r="N295" s="5" t="s">
        <v>186</v>
      </c>
      <c r="O295" s="5" t="s">
        <v>187</v>
      </c>
    </row>
    <row r="296" spans="2:16" ht="14.4" customHeight="1" x14ac:dyDescent="0.35">
      <c r="B296" s="188" t="s">
        <v>395</v>
      </c>
      <c r="C296" s="52" t="e" vm="25">
        <v>#VALUE!</v>
      </c>
      <c r="D296" s="52" t="e" vm="25">
        <f t="shared" si="156"/>
        <v>#VALUE!</v>
      </c>
      <c r="E296" s="52" cm="1">
        <f t="array" aca="1" ref="E296" ca="1">_FV(D296,"Price")</f>
        <v>177.64</v>
      </c>
      <c r="F296" s="52">
        <v>138.51</v>
      </c>
      <c r="G296" s="54">
        <v>11</v>
      </c>
      <c r="H296" s="52">
        <f t="shared" si="154"/>
        <v>1523.61</v>
      </c>
      <c r="I296" s="52" t="s">
        <v>5</v>
      </c>
      <c r="J296" s="10"/>
      <c r="K296" s="7"/>
      <c r="L296" s="83"/>
      <c r="M296" s="11"/>
    </row>
    <row r="297" spans="2:16" x14ac:dyDescent="0.35">
      <c r="B297" s="189"/>
      <c r="C297" s="52" t="s">
        <v>101</v>
      </c>
      <c r="D297" s="52" t="str">
        <f t="shared" si="156"/>
        <v>NVDA</v>
      </c>
      <c r="E297" s="52">
        <f ca="1">E296</f>
        <v>177.64</v>
      </c>
      <c r="F297" s="52">
        <v>141.06</v>
      </c>
      <c r="G297" s="54">
        <f>G296</f>
        <v>11</v>
      </c>
      <c r="H297" s="52">
        <f t="shared" si="154"/>
        <v>1551.66</v>
      </c>
      <c r="I297" s="52"/>
      <c r="J297" s="10">
        <f>H297-H296</f>
        <v>28.050000000000182</v>
      </c>
      <c r="K297" s="7">
        <f>(H297/H296)-100%</f>
        <v>1.8410223088585864E-2</v>
      </c>
      <c r="L297" s="83"/>
      <c r="M297" s="11"/>
      <c r="N297" s="5" t="s">
        <v>186</v>
      </c>
      <c r="O297" s="5" t="s">
        <v>145</v>
      </c>
    </row>
    <row r="298" spans="2:16" ht="14.65" customHeight="1" x14ac:dyDescent="0.35">
      <c r="B298" s="164" t="s">
        <v>33</v>
      </c>
      <c r="C298" s="52" t="e" vm="25">
        <v>#VALUE!</v>
      </c>
      <c r="D298" s="52" t="e" vm="25">
        <f t="shared" ref="D298:D299" si="157">C298</f>
        <v>#VALUE!</v>
      </c>
      <c r="E298" s="52" cm="1">
        <f t="array" aca="1" ref="E298" ca="1">_FV(D298,"Price")</f>
        <v>177.64</v>
      </c>
      <c r="F298" s="52">
        <v>139.72999999999999</v>
      </c>
      <c r="G298" s="54">
        <v>13</v>
      </c>
      <c r="H298" s="52">
        <f t="shared" ref="H298:H299" si="158">F298*G298</f>
        <v>1816.4899999999998</v>
      </c>
      <c r="I298" s="52" t="s">
        <v>5</v>
      </c>
      <c r="J298" s="10"/>
      <c r="K298" s="7"/>
      <c r="L298" s="83"/>
      <c r="M298" s="11"/>
    </row>
    <row r="299" spans="2:16" x14ac:dyDescent="0.35">
      <c r="B299" s="165"/>
      <c r="C299" s="52" t="s">
        <v>101</v>
      </c>
      <c r="D299" s="52" t="str">
        <f t="shared" si="157"/>
        <v>NVDA</v>
      </c>
      <c r="E299" s="52">
        <f ca="1">E298</f>
        <v>177.64</v>
      </c>
      <c r="F299" s="52">
        <v>141.15</v>
      </c>
      <c r="G299" s="54">
        <f>G298</f>
        <v>13</v>
      </c>
      <c r="H299" s="52">
        <f t="shared" si="158"/>
        <v>1834.95</v>
      </c>
      <c r="I299" s="52"/>
      <c r="J299" s="10">
        <f>H299-H298</f>
        <v>18.460000000000264</v>
      </c>
      <c r="K299" s="7">
        <f>(H299/H298)-100%</f>
        <v>1.0162456165462075E-2</v>
      </c>
      <c r="L299" s="83"/>
      <c r="M299" s="11"/>
      <c r="N299" s="5" t="s">
        <v>188</v>
      </c>
      <c r="O299" s="5" t="s">
        <v>145</v>
      </c>
    </row>
    <row r="300" spans="2:16" x14ac:dyDescent="0.35">
      <c r="B300" s="139" t="s">
        <v>32</v>
      </c>
      <c r="C300" s="63" t="e" vm="25">
        <v>#VALUE!</v>
      </c>
      <c r="D300" s="63" t="e" vm="25">
        <f t="shared" ref="D300:D301" si="159">C300</f>
        <v>#VALUE!</v>
      </c>
      <c r="E300" s="63" cm="1">
        <f t="array" aca="1" ref="E300" ca="1">_FV(D300,"Price")</f>
        <v>177.64</v>
      </c>
      <c r="F300" s="63">
        <v>140.6</v>
      </c>
      <c r="G300" s="64">
        <v>183</v>
      </c>
      <c r="H300" s="63">
        <f t="shared" ref="H300:H301" si="160">F300*G300</f>
        <v>25729.8</v>
      </c>
      <c r="I300" s="63" t="s">
        <v>5</v>
      </c>
      <c r="J300" s="10"/>
      <c r="K300" s="7"/>
      <c r="L300" s="83"/>
      <c r="M300" s="11"/>
    </row>
    <row r="301" spans="2:16" x14ac:dyDescent="0.35">
      <c r="B301" s="140"/>
      <c r="C301" s="63" t="s">
        <v>101</v>
      </c>
      <c r="D301" s="63" t="str">
        <f t="shared" si="159"/>
        <v>NVDA</v>
      </c>
      <c r="E301" s="63">
        <f ca="1">E300</f>
        <v>177.64</v>
      </c>
      <c r="F301" s="63">
        <v>176.86</v>
      </c>
      <c r="G301" s="64">
        <f>G300</f>
        <v>183</v>
      </c>
      <c r="H301" s="63">
        <f t="shared" si="160"/>
        <v>32365.38</v>
      </c>
      <c r="I301" s="63"/>
      <c r="J301" s="10">
        <f>H301-H300</f>
        <v>6635.5800000000017</v>
      </c>
      <c r="K301" s="7">
        <f>(H301/H300)-100%</f>
        <v>0.2578947368421054</v>
      </c>
      <c r="L301" s="83"/>
      <c r="M301" s="11"/>
      <c r="N301" s="5" t="s">
        <v>188</v>
      </c>
      <c r="O301" s="5" t="s">
        <v>289</v>
      </c>
    </row>
    <row r="302" spans="2:16" x14ac:dyDescent="0.35">
      <c r="B302" s="139" t="s">
        <v>32</v>
      </c>
      <c r="C302" s="63" t="e" vm="25">
        <v>#VALUE!</v>
      </c>
      <c r="D302" s="63" t="e" vm="25">
        <f>C302</f>
        <v>#VALUE!</v>
      </c>
      <c r="E302" s="63" cm="1">
        <f t="array" aca="1" ref="E302" ca="1">_FV(D302,"Price")</f>
        <v>177.64</v>
      </c>
      <c r="F302" s="63">
        <v>115.84</v>
      </c>
      <c r="G302" s="64">
        <v>45</v>
      </c>
      <c r="H302" s="63">
        <f>F302*G302</f>
        <v>5212.8</v>
      </c>
      <c r="I302" s="63" t="s">
        <v>5</v>
      </c>
      <c r="J302" s="10"/>
      <c r="K302" s="7"/>
      <c r="L302" s="83"/>
      <c r="M302" s="11"/>
    </row>
    <row r="303" spans="2:16" x14ac:dyDescent="0.35">
      <c r="B303" s="140"/>
      <c r="C303" s="63" t="s">
        <v>101</v>
      </c>
      <c r="D303" s="63" t="str">
        <f>C303</f>
        <v>NVDA</v>
      </c>
      <c r="E303" s="63">
        <f ca="1">E302</f>
        <v>177.64</v>
      </c>
      <c r="F303" s="63">
        <v>176.86</v>
      </c>
      <c r="G303" s="64">
        <f>G302</f>
        <v>45</v>
      </c>
      <c r="H303" s="63">
        <f>F303*G303</f>
        <v>7958.7000000000007</v>
      </c>
      <c r="I303" s="63"/>
      <c r="J303" s="10">
        <f>H303-H302</f>
        <v>2745.9000000000005</v>
      </c>
      <c r="K303" s="7">
        <f>(H303/H302)-100%</f>
        <v>0.52676104972375692</v>
      </c>
      <c r="L303" s="83"/>
      <c r="M303" s="11"/>
      <c r="N303" s="18" t="s">
        <v>189</v>
      </c>
      <c r="P303" s="5" t="s">
        <v>289</v>
      </c>
    </row>
    <row r="304" spans="2:16" ht="30.8" customHeight="1" x14ac:dyDescent="0.35">
      <c r="B304" s="135" t="s">
        <v>35</v>
      </c>
      <c r="C304" s="63" t="e" vm="25">
        <v>#VALUE!</v>
      </c>
      <c r="D304" s="63" t="e" vm="25">
        <f t="shared" ref="D304:D307" si="161">C304</f>
        <v>#VALUE!</v>
      </c>
      <c r="E304" s="63" cm="1">
        <f t="array" aca="1" ref="E304" ca="1">_FV(D304,"Price")</f>
        <v>177.64</v>
      </c>
      <c r="F304" s="63">
        <v>137.01</v>
      </c>
      <c r="G304" s="64">
        <v>43</v>
      </c>
      <c r="H304" s="63">
        <f t="shared" ref="H304:H311" si="162">F304*G304</f>
        <v>5891.4299999999994</v>
      </c>
      <c r="I304" s="63" t="s">
        <v>5</v>
      </c>
      <c r="J304" s="10"/>
      <c r="K304" s="7"/>
      <c r="L304" s="83"/>
      <c r="M304" s="11"/>
    </row>
    <row r="305" spans="2:15" x14ac:dyDescent="0.35">
      <c r="B305" s="136"/>
      <c r="C305" s="63" t="s">
        <v>101</v>
      </c>
      <c r="D305" s="63" t="str">
        <f t="shared" si="161"/>
        <v>NVDA</v>
      </c>
      <c r="E305" s="63">
        <f ca="1">E304</f>
        <v>177.64</v>
      </c>
      <c r="F305" s="63">
        <v>175.98</v>
      </c>
      <c r="G305" s="64">
        <f>G304</f>
        <v>43</v>
      </c>
      <c r="H305" s="63">
        <f t="shared" si="162"/>
        <v>7567.1399999999994</v>
      </c>
      <c r="I305" s="63"/>
      <c r="J305" s="10">
        <f>H305-H304</f>
        <v>1675.71</v>
      </c>
      <c r="K305" s="7">
        <f>(H305/H304)-100%</f>
        <v>0.28443179329975909</v>
      </c>
      <c r="L305" s="83"/>
      <c r="M305" s="11"/>
      <c r="N305" s="5" t="s">
        <v>190</v>
      </c>
      <c r="O305" s="5" t="s">
        <v>289</v>
      </c>
    </row>
    <row r="306" spans="2:15" x14ac:dyDescent="0.35">
      <c r="B306" s="139" t="s">
        <v>32</v>
      </c>
      <c r="C306" s="63" t="e" vm="25">
        <v>#VALUE!</v>
      </c>
      <c r="D306" s="63" t="e" vm="25">
        <f t="shared" si="161"/>
        <v>#VALUE!</v>
      </c>
      <c r="E306" s="63" cm="1">
        <f t="array" aca="1" ref="E306" ca="1">_FV(D306,"Price")</f>
        <v>177.64</v>
      </c>
      <c r="F306" s="63">
        <v>125.8</v>
      </c>
      <c r="G306" s="64">
        <v>80</v>
      </c>
      <c r="H306" s="63">
        <f t="shared" si="162"/>
        <v>10064</v>
      </c>
      <c r="I306" s="63" t="s">
        <v>5</v>
      </c>
      <c r="J306" s="10"/>
      <c r="K306" s="7"/>
      <c r="L306" s="83"/>
      <c r="M306" s="11"/>
    </row>
    <row r="307" spans="2:15" x14ac:dyDescent="0.35">
      <c r="B307" s="140"/>
      <c r="C307" s="63" t="s">
        <v>101</v>
      </c>
      <c r="D307" s="63" t="str">
        <f t="shared" si="161"/>
        <v>NVDA</v>
      </c>
      <c r="E307" s="63">
        <f ca="1">E306</f>
        <v>177.64</v>
      </c>
      <c r="F307" s="63">
        <v>176.86</v>
      </c>
      <c r="G307" s="64">
        <f>G306</f>
        <v>80</v>
      </c>
      <c r="H307" s="63">
        <f t="shared" si="162"/>
        <v>14148.800000000001</v>
      </c>
      <c r="I307" s="63"/>
      <c r="J307" s="10">
        <f>H307-H306</f>
        <v>4084.8000000000011</v>
      </c>
      <c r="K307" s="7">
        <f>(H307/H306)-100%</f>
        <v>0.40588235294117658</v>
      </c>
      <c r="L307" s="83"/>
      <c r="M307" s="11"/>
      <c r="N307" s="5" t="s">
        <v>191</v>
      </c>
      <c r="O307" s="5" t="s">
        <v>289</v>
      </c>
    </row>
    <row r="308" spans="2:15" ht="14.65" customHeight="1" x14ac:dyDescent="0.35">
      <c r="B308" s="166" t="s">
        <v>33</v>
      </c>
      <c r="C308" s="52" t="e" vm="25">
        <v>#VALUE!</v>
      </c>
      <c r="D308" s="52" t="e" vm="25">
        <f t="shared" ref="D308:D309" si="163">C308</f>
        <v>#VALUE!</v>
      </c>
      <c r="E308" s="52" cm="1">
        <f t="array" aca="1" ref="E308" ca="1">_FV(D308,"Price")</f>
        <v>177.64</v>
      </c>
      <c r="F308" s="52">
        <v>106.85</v>
      </c>
      <c r="G308" s="54">
        <v>36</v>
      </c>
      <c r="H308" s="52">
        <f t="shared" ref="H308:H309" si="164">F308*G308</f>
        <v>3846.6</v>
      </c>
      <c r="I308" s="52" t="s">
        <v>5</v>
      </c>
      <c r="J308" s="10"/>
      <c r="K308" s="7"/>
      <c r="L308" s="83"/>
      <c r="M308" s="11"/>
    </row>
    <row r="309" spans="2:15" x14ac:dyDescent="0.35">
      <c r="B309" s="167"/>
      <c r="C309" s="52" t="s">
        <v>101</v>
      </c>
      <c r="D309" s="52" t="str">
        <f t="shared" si="163"/>
        <v>NVDA</v>
      </c>
      <c r="E309" s="52">
        <f ca="1">E308</f>
        <v>177.64</v>
      </c>
      <c r="F309" s="52">
        <v>108.75</v>
      </c>
      <c r="G309" s="54">
        <f>G308</f>
        <v>36</v>
      </c>
      <c r="H309" s="52">
        <f t="shared" si="164"/>
        <v>3915</v>
      </c>
      <c r="I309" s="52"/>
      <c r="J309" s="10">
        <f>H309-H308</f>
        <v>68.400000000000091</v>
      </c>
      <c r="K309" s="7">
        <f>(H309/H308)-100%</f>
        <v>1.7781937295273664E-2</v>
      </c>
      <c r="L309" s="83"/>
      <c r="M309" s="11"/>
      <c r="N309" s="5" t="s">
        <v>192</v>
      </c>
      <c r="O309" s="5" t="s">
        <v>193</v>
      </c>
    </row>
    <row r="310" spans="2:15" ht="14.65" customHeight="1" x14ac:dyDescent="0.35">
      <c r="B310" s="166" t="s">
        <v>155</v>
      </c>
      <c r="C310" s="52" t="e" vm="36">
        <v>#VALUE!</v>
      </c>
      <c r="D310" s="52" t="e" vm="36">
        <f>C310</f>
        <v>#VALUE!</v>
      </c>
      <c r="E310" s="52" cm="1">
        <f t="array" aca="1" ref="E310" ca="1">_FV(D310,"Price")</f>
        <v>22.125</v>
      </c>
      <c r="F310" s="52">
        <v>48.24</v>
      </c>
      <c r="G310" s="54">
        <v>200</v>
      </c>
      <c r="H310" s="52">
        <f t="shared" si="162"/>
        <v>9648</v>
      </c>
      <c r="I310" s="52" t="s">
        <v>5</v>
      </c>
      <c r="J310" s="68"/>
      <c r="K310" s="69"/>
      <c r="L310" s="83"/>
      <c r="M310" s="126"/>
    </row>
    <row r="311" spans="2:15" x14ac:dyDescent="0.35">
      <c r="B311" s="167"/>
      <c r="C311" s="52" t="s">
        <v>167</v>
      </c>
      <c r="D311" s="52" t="str">
        <f t="shared" ref="D311:D313" si="165">C311</f>
        <v>TSLA Q -2x SHORT</v>
      </c>
      <c r="E311" s="52">
        <f ca="1">E310</f>
        <v>22.125</v>
      </c>
      <c r="F311" s="52">
        <v>44.35</v>
      </c>
      <c r="G311" s="54">
        <f>G310</f>
        <v>200</v>
      </c>
      <c r="H311" s="52">
        <f t="shared" si="162"/>
        <v>8870</v>
      </c>
      <c r="I311" s="52"/>
      <c r="J311" s="10">
        <f>H311-H310</f>
        <v>-778</v>
      </c>
      <c r="K311" s="7">
        <f>(H311/H310)-100%</f>
        <v>-8.0638474295190665E-2</v>
      </c>
      <c r="L311" s="83"/>
      <c r="M311" s="11"/>
      <c r="N311" s="5" t="s">
        <v>194</v>
      </c>
      <c r="O311" s="5" t="s">
        <v>195</v>
      </c>
    </row>
    <row r="312" spans="2:15" x14ac:dyDescent="0.35">
      <c r="B312" s="175" t="s">
        <v>26</v>
      </c>
      <c r="C312" s="52" t="e" vm="25">
        <v>#VALUE!</v>
      </c>
      <c r="D312" s="52" t="e" vm="25">
        <f t="shared" si="165"/>
        <v>#VALUE!</v>
      </c>
      <c r="E312" s="52" cm="1">
        <f t="array" aca="1" ref="E312" ca="1">_FV(D312,"Price")</f>
        <v>177.64</v>
      </c>
      <c r="F312" s="52">
        <v>115.78</v>
      </c>
      <c r="G312" s="54">
        <v>20</v>
      </c>
      <c r="H312" s="52">
        <f t="shared" ref="H312:H315" si="166">F312*G312</f>
        <v>2315.6</v>
      </c>
      <c r="I312" s="52" t="s">
        <v>5</v>
      </c>
      <c r="J312" s="10"/>
      <c r="K312" s="7"/>
      <c r="L312" s="83"/>
      <c r="M312" s="11"/>
    </row>
    <row r="313" spans="2:15" x14ac:dyDescent="0.35">
      <c r="B313" s="176"/>
      <c r="C313" s="52" t="s">
        <v>101</v>
      </c>
      <c r="D313" s="52" t="str">
        <f t="shared" si="165"/>
        <v>NVDA</v>
      </c>
      <c r="E313" s="52">
        <f ca="1">E312</f>
        <v>177.64</v>
      </c>
      <c r="F313" s="52">
        <v>114.14</v>
      </c>
      <c r="G313" s="54">
        <f>G312</f>
        <v>20</v>
      </c>
      <c r="H313" s="52">
        <f t="shared" si="166"/>
        <v>2282.8000000000002</v>
      </c>
      <c r="I313" s="52"/>
      <c r="J313" s="10">
        <f>H313-H312</f>
        <v>-32.799999999999727</v>
      </c>
      <c r="K313" s="7">
        <f>(H313/H312)-100%</f>
        <v>-1.4164795301433664E-2</v>
      </c>
      <c r="L313" s="83"/>
      <c r="M313" s="11"/>
      <c r="N313" s="5" t="s">
        <v>196</v>
      </c>
      <c r="O313" s="5" t="s">
        <v>197</v>
      </c>
    </row>
    <row r="314" spans="2:15" ht="14.65" customHeight="1" x14ac:dyDescent="0.35">
      <c r="B314" s="166" t="s">
        <v>32</v>
      </c>
      <c r="C314" s="52" t="e" vm="36">
        <v>#VALUE!</v>
      </c>
      <c r="D314" s="52" t="e" vm="36">
        <f>C314</f>
        <v>#VALUE!</v>
      </c>
      <c r="E314" s="52" cm="1">
        <f t="array" aca="1" ref="E314" ca="1">_FV(D314,"Price")</f>
        <v>22.125</v>
      </c>
      <c r="F314" s="52">
        <v>53.57</v>
      </c>
      <c r="G314" s="54">
        <v>186</v>
      </c>
      <c r="H314" s="52">
        <f t="shared" si="166"/>
        <v>9964.02</v>
      </c>
      <c r="I314" s="52" t="s">
        <v>5</v>
      </c>
      <c r="J314" s="68"/>
      <c r="K314" s="69"/>
      <c r="L314" s="83"/>
      <c r="M314" s="126"/>
    </row>
    <row r="315" spans="2:15" x14ac:dyDescent="0.35">
      <c r="B315" s="167"/>
      <c r="C315" s="52" t="s">
        <v>167</v>
      </c>
      <c r="D315" s="52" t="str">
        <f t="shared" ref="D315" si="167">C315</f>
        <v>TSLA Q -2x SHORT</v>
      </c>
      <c r="E315" s="52">
        <f ca="1">E314</f>
        <v>22.125</v>
      </c>
      <c r="F315" s="52">
        <v>55.7</v>
      </c>
      <c r="G315" s="54">
        <f>G314</f>
        <v>186</v>
      </c>
      <c r="H315" s="52">
        <f t="shared" si="166"/>
        <v>10360.200000000001</v>
      </c>
      <c r="I315" s="52"/>
      <c r="J315" s="10">
        <f>H315-H314</f>
        <v>396.18000000000029</v>
      </c>
      <c r="K315" s="7">
        <f>(H315/H314)-100%</f>
        <v>3.9761060294941197E-2</v>
      </c>
      <c r="L315" s="83"/>
      <c r="M315" s="11"/>
      <c r="N315" s="5" t="s">
        <v>198</v>
      </c>
      <c r="O315" s="5" t="s">
        <v>199</v>
      </c>
    </row>
    <row r="316" spans="2:15" x14ac:dyDescent="0.35">
      <c r="B316" s="166" t="s">
        <v>32</v>
      </c>
      <c r="C316" s="52" t="e" vm="36">
        <v>#VALUE!</v>
      </c>
      <c r="D316" s="52" t="e" vm="36">
        <f>C316</f>
        <v>#VALUE!</v>
      </c>
      <c r="E316" s="52" cm="1">
        <f t="array" aca="1" ref="E316" ca="1">_FV(D316,"Price")</f>
        <v>22.125</v>
      </c>
      <c r="F316" s="52">
        <v>55.65</v>
      </c>
      <c r="G316" s="54">
        <v>180</v>
      </c>
      <c r="H316" s="52">
        <f t="shared" ref="H316:H317" si="168">F316*G316</f>
        <v>10017</v>
      </c>
      <c r="I316" s="52" t="s">
        <v>5</v>
      </c>
      <c r="J316" s="68"/>
      <c r="K316" s="69"/>
      <c r="L316" s="83"/>
      <c r="M316" s="126"/>
    </row>
    <row r="317" spans="2:15" x14ac:dyDescent="0.35">
      <c r="B317" s="167"/>
      <c r="C317" s="52" t="s">
        <v>167</v>
      </c>
      <c r="D317" s="52" t="str">
        <f t="shared" ref="D317" si="169">C317</f>
        <v>TSLA Q -2x SHORT</v>
      </c>
      <c r="E317" s="52">
        <f ca="1">E316</f>
        <v>22.125</v>
      </c>
      <c r="F317" s="52">
        <v>53.77</v>
      </c>
      <c r="G317" s="54">
        <f>G316</f>
        <v>180</v>
      </c>
      <c r="H317" s="52">
        <f t="shared" si="168"/>
        <v>9678.6</v>
      </c>
      <c r="I317" s="52"/>
      <c r="J317" s="10">
        <f>H317-H316</f>
        <v>-338.39999999999964</v>
      </c>
      <c r="K317" s="7">
        <f>(H317/H316)-100%</f>
        <v>-3.378256963162618E-2</v>
      </c>
      <c r="L317" s="83"/>
      <c r="M317" s="11"/>
      <c r="N317" s="5" t="s">
        <v>198</v>
      </c>
      <c r="O317" s="5" t="s">
        <v>199</v>
      </c>
    </row>
    <row r="318" spans="2:15" ht="14.65" customHeight="1" x14ac:dyDescent="0.35">
      <c r="B318" s="166" t="s">
        <v>32</v>
      </c>
      <c r="C318" s="52" t="e" vm="36">
        <v>#VALUE!</v>
      </c>
      <c r="D318" s="52" t="e" vm="36">
        <f>C318</f>
        <v>#VALUE!</v>
      </c>
      <c r="E318" s="52" cm="1">
        <f t="array" aca="1" ref="E318" ca="1">_FV(D318,"Price")</f>
        <v>22.125</v>
      </c>
      <c r="F318" s="52">
        <v>66.650000000000006</v>
      </c>
      <c r="G318" s="54">
        <v>80</v>
      </c>
      <c r="H318" s="52">
        <f t="shared" ref="H318:H319" si="170">F318*G318</f>
        <v>5332</v>
      </c>
      <c r="I318" s="52" t="s">
        <v>5</v>
      </c>
      <c r="J318" s="68"/>
      <c r="K318" s="69"/>
      <c r="L318" s="83"/>
      <c r="M318" s="126"/>
    </row>
    <row r="319" spans="2:15" x14ac:dyDescent="0.35">
      <c r="B319" s="167"/>
      <c r="C319" s="52" t="s">
        <v>167</v>
      </c>
      <c r="D319" s="52" t="str">
        <f t="shared" ref="D319" si="171">C319</f>
        <v>TSLA Q -2x SHORT</v>
      </c>
      <c r="E319" s="52">
        <f ca="1">E318</f>
        <v>22.125</v>
      </c>
      <c r="F319" s="52">
        <v>65.63</v>
      </c>
      <c r="G319" s="54">
        <f>G318</f>
        <v>80</v>
      </c>
      <c r="H319" s="52">
        <f t="shared" si="170"/>
        <v>5250.4</v>
      </c>
      <c r="I319" s="52"/>
      <c r="J319" s="10">
        <f>H319-H318</f>
        <v>-81.600000000000364</v>
      </c>
      <c r="K319" s="7">
        <f>(H319/H318)-100%</f>
        <v>-1.5303825956489159E-2</v>
      </c>
      <c r="L319" s="83"/>
      <c r="M319" s="11"/>
      <c r="N319" s="5" t="s">
        <v>200</v>
      </c>
      <c r="O319" s="5" t="s">
        <v>201</v>
      </c>
    </row>
    <row r="320" spans="2:15" x14ac:dyDescent="0.35">
      <c r="B320" s="166" t="s">
        <v>32</v>
      </c>
      <c r="C320" s="52" t="e" vm="36">
        <v>#VALUE!</v>
      </c>
      <c r="D320" s="52" t="e" vm="36">
        <f>C320</f>
        <v>#VALUE!</v>
      </c>
      <c r="E320" s="52" cm="1">
        <f t="array" aca="1" ref="E320" ca="1">_FV(D320,"Price")</f>
        <v>22.125</v>
      </c>
      <c r="F320" s="52">
        <v>54.77</v>
      </c>
      <c r="G320" s="54">
        <v>90</v>
      </c>
      <c r="H320" s="52">
        <f t="shared" ref="H320:H325" si="172">F320*G320</f>
        <v>4929.3</v>
      </c>
      <c r="I320" s="52" t="s">
        <v>5</v>
      </c>
      <c r="J320" s="68"/>
      <c r="K320" s="69"/>
      <c r="L320" s="83"/>
      <c r="M320" s="126"/>
    </row>
    <row r="321" spans="1:16" x14ac:dyDescent="0.35">
      <c r="B321" s="167"/>
      <c r="C321" s="52" t="s">
        <v>167</v>
      </c>
      <c r="D321" s="52" t="str">
        <f t="shared" ref="D321" si="173">C321</f>
        <v>TSLA Q -2x SHORT</v>
      </c>
      <c r="E321" s="52">
        <f ca="1">E320</f>
        <v>22.125</v>
      </c>
      <c r="F321" s="52">
        <v>54.14</v>
      </c>
      <c r="G321" s="54">
        <f>G320</f>
        <v>90</v>
      </c>
      <c r="H321" s="52">
        <f t="shared" si="172"/>
        <v>4872.6000000000004</v>
      </c>
      <c r="I321" s="52"/>
      <c r="J321" s="10">
        <f>H321-H320</f>
        <v>-56.699999999999818</v>
      </c>
      <c r="K321" s="7">
        <f>(H321/H320)-100%</f>
        <v>-1.1502647434726954E-2</v>
      </c>
      <c r="L321" s="83"/>
      <c r="M321" s="11"/>
      <c r="N321" s="5" t="s">
        <v>202</v>
      </c>
      <c r="O321" s="5" t="s">
        <v>203</v>
      </c>
    </row>
    <row r="322" spans="1:16" x14ac:dyDescent="0.35">
      <c r="B322" s="139" t="s">
        <v>32</v>
      </c>
      <c r="C322" s="52" t="e" vm="11">
        <v>#VALUE!</v>
      </c>
      <c r="D322" s="52" t="e" vm="11">
        <v>#VALUE!</v>
      </c>
      <c r="E322" s="52" cm="1">
        <f t="array" aca="1" ref="E322" ca="1">_FV(D322,"Price")</f>
        <v>396.80220000000003</v>
      </c>
      <c r="F322" s="52">
        <v>276.67</v>
      </c>
      <c r="G322" s="54">
        <v>20</v>
      </c>
      <c r="H322" s="52">
        <f t="shared" si="172"/>
        <v>5533.4000000000005</v>
      </c>
      <c r="I322" s="52" t="s">
        <v>5</v>
      </c>
      <c r="J322" s="10"/>
      <c r="K322" s="7"/>
      <c r="L322" s="83"/>
      <c r="M322" s="11"/>
    </row>
    <row r="323" spans="1:16" x14ac:dyDescent="0.35">
      <c r="B323" s="140"/>
      <c r="C323" s="52" t="s">
        <v>37</v>
      </c>
      <c r="D323" s="52" t="str">
        <f t="shared" ref="D323:D325" si="174">C323</f>
        <v>TSLA</v>
      </c>
      <c r="E323" s="52">
        <f ca="1">E322</f>
        <v>396.80220000000003</v>
      </c>
      <c r="F323" s="52">
        <v>274.72000000000003</v>
      </c>
      <c r="G323" s="54">
        <f>G322</f>
        <v>20</v>
      </c>
      <c r="H323" s="52">
        <f t="shared" si="172"/>
        <v>5494.4000000000005</v>
      </c>
      <c r="I323" s="52"/>
      <c r="J323" s="10">
        <f>H323-H322</f>
        <v>-39</v>
      </c>
      <c r="K323" s="7">
        <f>(H323/H322)-100%</f>
        <v>-7.0481078541222431E-3</v>
      </c>
      <c r="L323" s="83"/>
      <c r="M323" s="11"/>
      <c r="N323" s="5" t="s">
        <v>204</v>
      </c>
      <c r="O323" s="5" t="s">
        <v>43</v>
      </c>
    </row>
    <row r="324" spans="1:16" ht="14.65" customHeight="1" x14ac:dyDescent="0.35">
      <c r="A324" s="5">
        <v>1</v>
      </c>
      <c r="B324" s="141" t="s">
        <v>382</v>
      </c>
      <c r="C324" s="16" t="e" vm="25">
        <v>#VALUE!</v>
      </c>
      <c r="D324" s="16" t="e" vm="25">
        <f t="shared" si="174"/>
        <v>#VALUE!</v>
      </c>
      <c r="E324" s="16" cm="1">
        <f t="array" aca="1" ref="E324" ca="1">_FV(D324,"Price")</f>
        <v>177.64</v>
      </c>
      <c r="F324" s="16">
        <v>102.54</v>
      </c>
      <c r="G324" s="17">
        <v>40</v>
      </c>
      <c r="H324" s="16">
        <f t="shared" si="172"/>
        <v>4101.6000000000004</v>
      </c>
      <c r="I324" s="16" t="s">
        <v>5</v>
      </c>
      <c r="J324" s="10"/>
      <c r="K324" s="7"/>
      <c r="L324" s="83"/>
      <c r="M324" s="11"/>
    </row>
    <row r="325" spans="1:16" x14ac:dyDescent="0.35">
      <c r="A325" s="5">
        <v>1</v>
      </c>
      <c r="B325" s="142"/>
      <c r="C325" s="16" t="s">
        <v>101</v>
      </c>
      <c r="D325" s="16" t="str">
        <f t="shared" si="174"/>
        <v>NVDA</v>
      </c>
      <c r="E325" s="16">
        <f ca="1">E324</f>
        <v>177.64</v>
      </c>
      <c r="F325" s="16">
        <f ca="1">E325</f>
        <v>177.64</v>
      </c>
      <c r="G325" s="17">
        <f>G324</f>
        <v>40</v>
      </c>
      <c r="H325" s="16">
        <f t="shared" ca="1" si="172"/>
        <v>7105.5999999999995</v>
      </c>
      <c r="I325" s="16"/>
      <c r="J325" s="10">
        <f ca="1">H325-H324</f>
        <v>3003.9999999999991</v>
      </c>
      <c r="K325" s="7">
        <f ca="1">(H325/H324)-100%</f>
        <v>0.73239711332163027</v>
      </c>
      <c r="L325" s="83">
        <v>45750</v>
      </c>
      <c r="M325" s="11"/>
      <c r="N325" s="5" t="s">
        <v>205</v>
      </c>
      <c r="O325" s="5" t="s">
        <v>206</v>
      </c>
    </row>
    <row r="326" spans="1:16" x14ac:dyDescent="0.35">
      <c r="B326" s="164" t="s">
        <v>33</v>
      </c>
      <c r="C326" s="52" t="e" vm="38">
        <v>#VALUE!</v>
      </c>
      <c r="D326" s="52" t="e" vm="38">
        <f t="shared" ref="D326:D327" si="175">C326</f>
        <v>#VALUE!</v>
      </c>
      <c r="E326" s="52" cm="1">
        <f t="array" aca="1" ref="E326" ca="1">_FV(D326,"Price")</f>
        <v>257.56</v>
      </c>
      <c r="F326" s="52">
        <v>207</v>
      </c>
      <c r="G326" s="54">
        <v>15</v>
      </c>
      <c r="H326" s="52">
        <f t="shared" ref="H326:H335" si="176">F326*G326</f>
        <v>3105</v>
      </c>
      <c r="I326" s="52" t="s">
        <v>5</v>
      </c>
      <c r="J326" s="10"/>
      <c r="K326" s="7"/>
      <c r="L326" s="83"/>
      <c r="M326" s="11"/>
    </row>
    <row r="327" spans="1:16" x14ac:dyDescent="0.35">
      <c r="B327" s="165"/>
      <c r="C327" s="52" t="s">
        <v>207</v>
      </c>
      <c r="D327" s="52" t="str">
        <f t="shared" si="175"/>
        <v>APPLE</v>
      </c>
      <c r="E327" s="52">
        <v>206.5</v>
      </c>
      <c r="F327" s="52">
        <f>E327</f>
        <v>206.5</v>
      </c>
      <c r="G327" s="54">
        <f>G326</f>
        <v>15</v>
      </c>
      <c r="H327" s="52">
        <f t="shared" si="176"/>
        <v>3097.5</v>
      </c>
      <c r="I327" s="52"/>
      <c r="J327" s="10">
        <f>H327-H326</f>
        <v>-7.5</v>
      </c>
      <c r="K327" s="7">
        <f>(H327/H326)-100%</f>
        <v>-2.4154589371980784E-3</v>
      </c>
      <c r="L327" s="83"/>
      <c r="M327" s="11"/>
      <c r="N327" s="5" t="s">
        <v>205</v>
      </c>
      <c r="O327" s="5" t="s">
        <v>48</v>
      </c>
    </row>
    <row r="328" spans="1:16" x14ac:dyDescent="0.35">
      <c r="B328" s="139" t="s">
        <v>32</v>
      </c>
      <c r="C328" s="52" t="e" vm="11">
        <v>#VALUE!</v>
      </c>
      <c r="D328" s="52" t="e" vm="11">
        <v>#VALUE!</v>
      </c>
      <c r="E328" s="52" cm="1">
        <f t="array" aca="1" ref="E328" ca="1">_FV(D328,"Price")</f>
        <v>396.80220000000003</v>
      </c>
      <c r="F328" s="52">
        <v>240.76</v>
      </c>
      <c r="G328" s="54">
        <v>30</v>
      </c>
      <c r="H328" s="52">
        <f t="shared" si="176"/>
        <v>7222.7999999999993</v>
      </c>
      <c r="I328" s="52" t="s">
        <v>5</v>
      </c>
      <c r="J328" s="10"/>
      <c r="K328" s="7"/>
      <c r="L328" s="83"/>
      <c r="M328" s="11"/>
    </row>
    <row r="329" spans="1:16" x14ac:dyDescent="0.35">
      <c r="B329" s="140"/>
      <c r="C329" s="52" t="s">
        <v>37</v>
      </c>
      <c r="D329" s="52" t="str">
        <f t="shared" ref="D329:D333" si="177">C329</f>
        <v>TSLA</v>
      </c>
      <c r="E329" s="52">
        <f ca="1">E328</f>
        <v>396.80220000000003</v>
      </c>
      <c r="F329" s="52">
        <v>247.98</v>
      </c>
      <c r="G329" s="54">
        <f>G328</f>
        <v>30</v>
      </c>
      <c r="H329" s="52">
        <f t="shared" si="176"/>
        <v>7439.4</v>
      </c>
      <c r="I329" s="52"/>
      <c r="J329" s="10">
        <f>H329-H328</f>
        <v>216.60000000000036</v>
      </c>
      <c r="K329" s="7">
        <f>(H329/H328)-100%</f>
        <v>2.9988370161156297E-2</v>
      </c>
      <c r="L329" s="83"/>
      <c r="M329" s="11"/>
      <c r="N329" s="5" t="s">
        <v>208</v>
      </c>
      <c r="O329" s="5" t="s">
        <v>209</v>
      </c>
    </row>
    <row r="330" spans="1:16" x14ac:dyDescent="0.35">
      <c r="B330" s="164" t="s">
        <v>33</v>
      </c>
      <c r="C330" s="52" t="e" vm="25">
        <v>#VALUE!</v>
      </c>
      <c r="D330" s="52" t="e" vm="25">
        <f>C330</f>
        <v>#VALUE!</v>
      </c>
      <c r="E330" s="52" cm="1">
        <f t="array" aca="1" ref="E330" ca="1">_FV(D330,"Price")</f>
        <v>177.64</v>
      </c>
      <c r="F330" s="52">
        <v>102.54</v>
      </c>
      <c r="G330" s="54">
        <v>40</v>
      </c>
      <c r="H330" s="52">
        <f>F330*G330</f>
        <v>4101.6000000000004</v>
      </c>
      <c r="I330" s="52" t="s">
        <v>5</v>
      </c>
      <c r="J330" s="10"/>
      <c r="K330" s="7"/>
      <c r="L330" s="83"/>
      <c r="M330" s="11"/>
    </row>
    <row r="331" spans="1:16" x14ac:dyDescent="0.35">
      <c r="B331" s="165"/>
      <c r="C331" s="52" t="s">
        <v>101</v>
      </c>
      <c r="D331" s="52" t="str">
        <f>C331</f>
        <v>NVDA</v>
      </c>
      <c r="E331" s="52">
        <f ca="1">E330</f>
        <v>177.64</v>
      </c>
      <c r="F331" s="52">
        <v>104</v>
      </c>
      <c r="G331" s="54">
        <f>G330</f>
        <v>40</v>
      </c>
      <c r="H331" s="52">
        <f>F331*G331</f>
        <v>4160</v>
      </c>
      <c r="I331" s="52"/>
      <c r="J331" s="10">
        <f>H331-H330</f>
        <v>58.399999999999636</v>
      </c>
      <c r="K331" s="7">
        <f>(H331/H330)-100%</f>
        <v>1.4238346011312464E-2</v>
      </c>
      <c r="L331" s="83"/>
      <c r="M331" s="11"/>
      <c r="N331" s="5" t="s">
        <v>205</v>
      </c>
      <c r="O331" s="5" t="s">
        <v>206</v>
      </c>
    </row>
    <row r="332" spans="1:16" x14ac:dyDescent="0.35">
      <c r="B332" s="150" t="s">
        <v>210</v>
      </c>
      <c r="C332" s="52" t="e" vm="25">
        <v>#VALUE!</v>
      </c>
      <c r="D332" s="52" t="e" vm="25">
        <f t="shared" si="177"/>
        <v>#VALUE!</v>
      </c>
      <c r="E332" s="52" cm="1">
        <f t="array" aca="1" ref="E332" ca="1">_FV(D332,"Price")</f>
        <v>177.64</v>
      </c>
      <c r="F332" s="52">
        <v>93.73</v>
      </c>
      <c r="G332" s="54">
        <v>53</v>
      </c>
      <c r="H332" s="52">
        <f t="shared" si="176"/>
        <v>4967.6900000000005</v>
      </c>
      <c r="I332" s="52" t="s">
        <v>5</v>
      </c>
      <c r="J332" s="10"/>
      <c r="K332" s="7"/>
      <c r="L332" s="83"/>
      <c r="M332" s="11"/>
    </row>
    <row r="333" spans="1:16" x14ac:dyDescent="0.35">
      <c r="B333" s="195"/>
      <c r="C333" s="52" t="s">
        <v>101</v>
      </c>
      <c r="D333" s="52" t="str">
        <f t="shared" si="177"/>
        <v>NVDA</v>
      </c>
      <c r="E333" s="52">
        <f ca="1">E332</f>
        <v>177.64</v>
      </c>
      <c r="F333" s="52">
        <v>95.23</v>
      </c>
      <c r="G333" s="54">
        <f>G332</f>
        <v>53</v>
      </c>
      <c r="H333" s="52">
        <f t="shared" si="176"/>
        <v>5047.1900000000005</v>
      </c>
      <c r="I333" s="52"/>
      <c r="J333" s="10">
        <f>H333-H332</f>
        <v>79.5</v>
      </c>
      <c r="K333" s="7">
        <f>(H333/H332)-100%</f>
        <v>1.6003414061666499E-2</v>
      </c>
      <c r="L333" s="83"/>
      <c r="M333" s="11"/>
      <c r="N333" s="5" t="s">
        <v>211</v>
      </c>
      <c r="O333" s="5" t="s">
        <v>209</v>
      </c>
    </row>
    <row r="334" spans="1:16" x14ac:dyDescent="0.35">
      <c r="B334" s="139" t="s">
        <v>32</v>
      </c>
      <c r="C334" s="52" t="e" vm="11">
        <v>#VALUE!</v>
      </c>
      <c r="D334" s="52" t="e" vm="11">
        <v>#VALUE!</v>
      </c>
      <c r="E334" s="52" cm="1">
        <f t="array" aca="1" ref="E334" ca="1">_FV(D334,"Price")</f>
        <v>396.80220000000003</v>
      </c>
      <c r="F334" s="52">
        <v>239.62</v>
      </c>
      <c r="G334" s="54">
        <v>23</v>
      </c>
      <c r="H334" s="52">
        <f t="shared" si="176"/>
        <v>5511.26</v>
      </c>
      <c r="I334" s="52" t="s">
        <v>5</v>
      </c>
      <c r="J334" s="10"/>
      <c r="K334" s="7"/>
      <c r="L334" s="83"/>
      <c r="M334" s="11"/>
    </row>
    <row r="335" spans="1:16" x14ac:dyDescent="0.35">
      <c r="B335" s="140"/>
      <c r="C335" s="52" t="s">
        <v>37</v>
      </c>
      <c r="D335" s="52" t="str">
        <f t="shared" ref="D335" si="178">C335</f>
        <v>TSLA</v>
      </c>
      <c r="E335" s="52">
        <f ca="1">E334</f>
        <v>396.80220000000003</v>
      </c>
      <c r="F335" s="52">
        <v>239</v>
      </c>
      <c r="G335" s="54">
        <f>G334</f>
        <v>23</v>
      </c>
      <c r="H335" s="52">
        <f t="shared" si="176"/>
        <v>5497</v>
      </c>
      <c r="I335" s="52"/>
      <c r="J335" s="10">
        <f>H335-H334</f>
        <v>-14.260000000000218</v>
      </c>
      <c r="K335" s="7">
        <f>(H335/H334)-100%</f>
        <v>-2.5874300976546083E-3</v>
      </c>
      <c r="L335" s="83"/>
      <c r="M335" s="11"/>
      <c r="N335" s="5" t="s">
        <v>211</v>
      </c>
      <c r="O335" s="5" t="s">
        <v>212</v>
      </c>
      <c r="P335" s="5" t="s">
        <v>213</v>
      </c>
    </row>
    <row r="336" spans="1:16" x14ac:dyDescent="0.35">
      <c r="B336" s="139" t="s">
        <v>32</v>
      </c>
      <c r="C336" s="52" t="e" vm="11">
        <v>#VALUE!</v>
      </c>
      <c r="D336" s="52" t="e" vm="11">
        <v>#VALUE!</v>
      </c>
      <c r="E336" s="52" cm="1">
        <f t="array" aca="1" ref="E336" ca="1">_FV(D336,"Price")</f>
        <v>396.80220000000003</v>
      </c>
      <c r="F336" s="52">
        <v>239.62</v>
      </c>
      <c r="G336" s="54">
        <v>22</v>
      </c>
      <c r="H336" s="52">
        <f t="shared" ref="H336:H339" si="179">F336*G336</f>
        <v>5271.64</v>
      </c>
      <c r="I336" s="52" t="s">
        <v>5</v>
      </c>
      <c r="J336" s="10"/>
      <c r="K336" s="7"/>
      <c r="L336" s="83"/>
      <c r="M336" s="11"/>
    </row>
    <row r="337" spans="1:17" x14ac:dyDescent="0.35">
      <c r="B337" s="140"/>
      <c r="C337" s="52" t="s">
        <v>37</v>
      </c>
      <c r="D337" s="52" t="str">
        <f t="shared" ref="D337:D339" si="180">C337</f>
        <v>TSLA</v>
      </c>
      <c r="E337" s="52">
        <v>239.69</v>
      </c>
      <c r="F337" s="52">
        <v>239.69</v>
      </c>
      <c r="G337" s="54">
        <f>G336</f>
        <v>22</v>
      </c>
      <c r="H337" s="52">
        <f t="shared" si="179"/>
        <v>5273.18</v>
      </c>
      <c r="I337" s="52"/>
      <c r="J337" s="10">
        <f>H337-H336</f>
        <v>1.5399999999999636</v>
      </c>
      <c r="K337" s="7">
        <f>(H337/H336)-100%</f>
        <v>2.9212920457388769E-4</v>
      </c>
      <c r="L337" s="83"/>
      <c r="M337" s="11"/>
      <c r="N337" s="5" t="s">
        <v>211</v>
      </c>
      <c r="O337" s="5" t="s">
        <v>209</v>
      </c>
    </row>
    <row r="338" spans="1:17" x14ac:dyDescent="0.35">
      <c r="B338" s="139" t="s">
        <v>32</v>
      </c>
      <c r="C338" s="52" t="e" vm="25">
        <v>#VALUE!</v>
      </c>
      <c r="D338" s="52" t="e" vm="25">
        <f t="shared" si="180"/>
        <v>#VALUE!</v>
      </c>
      <c r="E338" s="52" cm="1">
        <f t="array" aca="1" ref="E338" ca="1">_FV(D338,"Price")</f>
        <v>177.64</v>
      </c>
      <c r="F338" s="52">
        <v>102.31</v>
      </c>
      <c r="G338" s="54">
        <v>390</v>
      </c>
      <c r="H338" s="52">
        <f t="shared" si="179"/>
        <v>39900.9</v>
      </c>
      <c r="I338" s="52" t="s">
        <v>5</v>
      </c>
      <c r="J338" s="10"/>
      <c r="K338" s="7"/>
      <c r="L338" s="83"/>
      <c r="M338" s="11"/>
    </row>
    <row r="339" spans="1:17" x14ac:dyDescent="0.35">
      <c r="B339" s="140"/>
      <c r="C339" s="52" t="s">
        <v>101</v>
      </c>
      <c r="D339" s="52" t="str">
        <f t="shared" si="180"/>
        <v>NVDA</v>
      </c>
      <c r="E339" s="52">
        <f ca="1">E338</f>
        <v>177.64</v>
      </c>
      <c r="F339" s="52">
        <v>102</v>
      </c>
      <c r="G339" s="54">
        <f>G338</f>
        <v>390</v>
      </c>
      <c r="H339" s="52">
        <f t="shared" si="179"/>
        <v>39780</v>
      </c>
      <c r="I339" s="52"/>
      <c r="J339" s="10">
        <f>H339-H338</f>
        <v>-120.90000000000146</v>
      </c>
      <c r="K339" s="7">
        <f>(H339/H338)-100%</f>
        <v>-3.0300068419509829E-3</v>
      </c>
      <c r="L339" s="83"/>
      <c r="M339" s="11"/>
      <c r="N339" s="5" t="s">
        <v>214</v>
      </c>
      <c r="O339" s="5" t="s">
        <v>215</v>
      </c>
    </row>
    <row r="340" spans="1:17" x14ac:dyDescent="0.35">
      <c r="A340" s="5">
        <v>1</v>
      </c>
      <c r="B340" s="135" t="s">
        <v>386</v>
      </c>
      <c r="C340" s="81" t="e" vm="25">
        <v>#VALUE!</v>
      </c>
      <c r="D340" s="81" t="e" vm="25">
        <f t="shared" ref="D340:D341" si="181">C340</f>
        <v>#VALUE!</v>
      </c>
      <c r="E340" s="81" cm="1">
        <f t="array" aca="1" ref="E340" ca="1">_FV(D340,"Price")</f>
        <v>177.64</v>
      </c>
      <c r="F340" s="81">
        <v>96.38</v>
      </c>
      <c r="G340" s="82">
        <v>30</v>
      </c>
      <c r="H340" s="81">
        <f t="shared" ref="H340:H343" si="182">F340*G340</f>
        <v>2891.3999999999996</v>
      </c>
      <c r="I340" s="81" t="s">
        <v>5</v>
      </c>
      <c r="J340" s="10"/>
      <c r="K340" s="7"/>
      <c r="L340" s="83"/>
      <c r="M340" s="11"/>
    </row>
    <row r="341" spans="1:17" x14ac:dyDescent="0.35">
      <c r="A341" s="5">
        <v>1</v>
      </c>
      <c r="B341" s="136"/>
      <c r="C341" s="81" t="s">
        <v>101</v>
      </c>
      <c r="D341" s="81" t="str">
        <f t="shared" si="181"/>
        <v>NVDA</v>
      </c>
      <c r="E341" s="81">
        <f ca="1">E340</f>
        <v>177.64</v>
      </c>
      <c r="F341" s="81">
        <f ca="1">E341</f>
        <v>177.64</v>
      </c>
      <c r="G341" s="82">
        <f>G340</f>
        <v>30</v>
      </c>
      <c r="H341" s="81">
        <f t="shared" ca="1" si="182"/>
        <v>5329.2</v>
      </c>
      <c r="I341" s="81"/>
      <c r="J341" s="10">
        <f ca="1">H341-H340</f>
        <v>2437.8000000000002</v>
      </c>
      <c r="K341" s="7">
        <f ca="1">(H341/H340)-100%</f>
        <v>0.84312097945631881</v>
      </c>
      <c r="L341" s="83">
        <v>45768</v>
      </c>
      <c r="M341" s="11"/>
      <c r="N341" s="5" t="s">
        <v>216</v>
      </c>
    </row>
    <row r="342" spans="1:17" x14ac:dyDescent="0.35">
      <c r="B342" s="141" t="s">
        <v>42</v>
      </c>
      <c r="C342" s="52" t="e" vm="11">
        <v>#VALUE!</v>
      </c>
      <c r="D342" s="52" t="e" vm="11">
        <v>#VALUE!</v>
      </c>
      <c r="E342" s="52" cm="1">
        <f t="array" aca="1" ref="E342" ca="1">_FV(D342,"Price")</f>
        <v>396.80220000000003</v>
      </c>
      <c r="F342" s="52">
        <v>283</v>
      </c>
      <c r="G342" s="54">
        <v>17</v>
      </c>
      <c r="H342" s="52">
        <f t="shared" si="182"/>
        <v>4811</v>
      </c>
      <c r="I342" s="52" t="s">
        <v>5</v>
      </c>
      <c r="J342" s="10"/>
      <c r="K342" s="7"/>
      <c r="L342" s="83"/>
      <c r="M342" s="11"/>
    </row>
    <row r="343" spans="1:17" x14ac:dyDescent="0.35">
      <c r="B343" s="142"/>
      <c r="C343" s="99" t="s">
        <v>37</v>
      </c>
      <c r="D343" s="99" t="str">
        <f t="shared" ref="D343" si="183">C343</f>
        <v>TSLA</v>
      </c>
      <c r="E343" s="99">
        <f ca="1">E342</f>
        <v>396.80220000000003</v>
      </c>
      <c r="F343" s="99">
        <v>433.69</v>
      </c>
      <c r="G343" s="100">
        <f>G342</f>
        <v>17</v>
      </c>
      <c r="H343" s="99">
        <f t="shared" si="182"/>
        <v>7372.73</v>
      </c>
      <c r="I343" s="99"/>
      <c r="J343" s="10">
        <f>H343-H342</f>
        <v>2561.7299999999996</v>
      </c>
      <c r="K343" s="7">
        <f>(H343/H342)-100%</f>
        <v>0.53247349823321555</v>
      </c>
      <c r="L343" s="83"/>
      <c r="M343" s="11"/>
      <c r="N343" s="5" t="s">
        <v>217</v>
      </c>
      <c r="O343" s="5" t="s">
        <v>284</v>
      </c>
      <c r="P343" s="5">
        <v>150</v>
      </c>
    </row>
    <row r="344" spans="1:17" x14ac:dyDescent="0.35">
      <c r="B344" s="141" t="s">
        <v>42</v>
      </c>
      <c r="C344" s="52" t="e" vm="11">
        <v>#VALUE!</v>
      </c>
      <c r="D344" s="52" t="e" vm="11">
        <v>#VALUE!</v>
      </c>
      <c r="E344" s="52" cm="1">
        <f t="array" aca="1" ref="E344" ca="1">_FV(D344,"Price")</f>
        <v>396.80220000000003</v>
      </c>
      <c r="F344" s="52">
        <v>274.68</v>
      </c>
      <c r="G344" s="54">
        <v>18</v>
      </c>
      <c r="H344" s="52">
        <f t="shared" ref="H344:H345" si="184">F344*G344</f>
        <v>4944.24</v>
      </c>
      <c r="I344" s="52" t="s">
        <v>5</v>
      </c>
      <c r="J344" s="10"/>
      <c r="K344" s="7"/>
      <c r="L344" s="83"/>
      <c r="M344" s="11"/>
      <c r="O344" s="5">
        <v>100</v>
      </c>
    </row>
    <row r="345" spans="1:17" x14ac:dyDescent="0.35">
      <c r="B345" s="142"/>
      <c r="C345" s="52" t="s">
        <v>37</v>
      </c>
      <c r="D345" s="52" t="str">
        <f t="shared" ref="D345" si="185">C345</f>
        <v>TSLA</v>
      </c>
      <c r="E345" s="52">
        <f ca="1">E344</f>
        <v>396.80220000000003</v>
      </c>
      <c r="F345" s="52">
        <v>276.06</v>
      </c>
      <c r="G345" s="54">
        <f>G344</f>
        <v>18</v>
      </c>
      <c r="H345" s="52">
        <f t="shared" si="184"/>
        <v>4969.08</v>
      </c>
      <c r="I345" s="52"/>
      <c r="J345" s="10">
        <f>H345-H344</f>
        <v>24.840000000000146</v>
      </c>
      <c r="K345" s="7">
        <f>(H345/H344)-100%</f>
        <v>5.0240279598077198E-3</v>
      </c>
      <c r="L345" s="83"/>
      <c r="M345" s="11"/>
      <c r="N345" s="5" t="s">
        <v>76</v>
      </c>
      <c r="O345" s="5" t="s">
        <v>218</v>
      </c>
    </row>
    <row r="346" spans="1:17" x14ac:dyDescent="0.35">
      <c r="B346" s="196" t="s">
        <v>35</v>
      </c>
      <c r="C346" s="52" t="e" vm="11">
        <v>#VALUE!</v>
      </c>
      <c r="D346" s="52" t="e" vm="11">
        <v>#VALUE!</v>
      </c>
      <c r="E346" s="52" cm="1">
        <f t="array" aca="1" ref="E346" ca="1">_FV(D346,"Price")</f>
        <v>396.80220000000003</v>
      </c>
      <c r="F346" s="52">
        <v>281.83999999999997</v>
      </c>
      <c r="G346" s="54">
        <v>50</v>
      </c>
      <c r="H346" s="52">
        <f t="shared" ref="H346:H347" si="186">F346*G346</f>
        <v>14091.999999999998</v>
      </c>
      <c r="I346" s="52" t="s">
        <v>5</v>
      </c>
      <c r="J346" s="10"/>
      <c r="K346" s="7"/>
      <c r="L346" s="83"/>
      <c r="M346" s="11"/>
    </row>
    <row r="347" spans="1:17" ht="57.6" x14ac:dyDescent="0.35">
      <c r="B347" s="197"/>
      <c r="C347" s="52" t="s">
        <v>37</v>
      </c>
      <c r="D347" s="52" t="str">
        <f t="shared" ref="D347" si="187">C347</f>
        <v>TSLA</v>
      </c>
      <c r="E347" s="52">
        <f ca="1">E346</f>
        <v>396.80220000000003</v>
      </c>
      <c r="F347" s="52">
        <v>280.49</v>
      </c>
      <c r="G347" s="54">
        <f>G346</f>
        <v>50</v>
      </c>
      <c r="H347" s="52">
        <f t="shared" si="186"/>
        <v>14024.5</v>
      </c>
      <c r="I347" s="52"/>
      <c r="J347" s="10">
        <f>H347-H346</f>
        <v>-67.499999999998181</v>
      </c>
      <c r="K347" s="7">
        <f>(H347/H346)-100%</f>
        <v>-4.789951745671206E-3</v>
      </c>
      <c r="L347" s="83"/>
      <c r="M347" s="11"/>
      <c r="N347" s="5" t="s">
        <v>219</v>
      </c>
      <c r="O347" s="5" t="s">
        <v>218</v>
      </c>
      <c r="P347" s="6" t="s">
        <v>220</v>
      </c>
      <c r="Q347" s="6" t="s">
        <v>38</v>
      </c>
    </row>
    <row r="348" spans="1:17" x14ac:dyDescent="0.35">
      <c r="B348" s="198" t="s">
        <v>32</v>
      </c>
      <c r="C348" s="52" t="e" vm="11">
        <v>#VALUE!</v>
      </c>
      <c r="D348" s="52" t="e" vm="11">
        <v>#VALUE!</v>
      </c>
      <c r="E348" s="52" cm="1">
        <f t="array" aca="1" ref="E348" ca="1">_FV(D348,"Price")</f>
        <v>396.80220000000003</v>
      </c>
      <c r="F348" s="52">
        <v>281.83999999999997</v>
      </c>
      <c r="G348" s="54">
        <v>100</v>
      </c>
      <c r="H348" s="52">
        <f t="shared" ref="H348:H351" si="188">F348*G348</f>
        <v>28183.999999999996</v>
      </c>
      <c r="I348" s="52" t="s">
        <v>5</v>
      </c>
      <c r="J348" s="10"/>
      <c r="K348" s="7"/>
      <c r="L348" s="83"/>
      <c r="M348" s="11"/>
    </row>
    <row r="349" spans="1:17" x14ac:dyDescent="0.35">
      <c r="B349" s="198"/>
      <c r="C349" s="52" t="s">
        <v>37</v>
      </c>
      <c r="D349" s="52" t="str">
        <f t="shared" ref="D349" si="189">C349</f>
        <v>TSLA</v>
      </c>
      <c r="E349" s="52">
        <f ca="1">E348</f>
        <v>396.80220000000003</v>
      </c>
      <c r="F349" s="52">
        <f ca="1">E349</f>
        <v>396.80220000000003</v>
      </c>
      <c r="G349" s="54">
        <f>G348</f>
        <v>100</v>
      </c>
      <c r="H349" s="52">
        <f t="shared" ca="1" si="188"/>
        <v>39680.22</v>
      </c>
      <c r="I349" s="52"/>
      <c r="J349" s="10">
        <f ca="1">H349-H348</f>
        <v>11496.220000000005</v>
      </c>
      <c r="K349" s="7">
        <f ca="1">(H349/H348)-100%</f>
        <v>0.40789880783423249</v>
      </c>
      <c r="L349" s="83"/>
      <c r="M349" s="11"/>
      <c r="N349" s="5" t="s">
        <v>219</v>
      </c>
      <c r="O349" s="5" t="s">
        <v>221</v>
      </c>
    </row>
    <row r="350" spans="1:17" x14ac:dyDescent="0.35">
      <c r="B350" s="135" t="s">
        <v>35</v>
      </c>
      <c r="C350" s="13" t="e" vm="11">
        <v>#VALUE!</v>
      </c>
      <c r="D350" s="13" t="e" vm="11">
        <v>#VALUE!</v>
      </c>
      <c r="E350" s="13" cm="1">
        <f t="array" aca="1" ref="E350" ca="1">_FV(D350,"Price")</f>
        <v>396.80220000000003</v>
      </c>
      <c r="F350" s="8">
        <v>316.43</v>
      </c>
      <c r="G350" s="14">
        <v>16</v>
      </c>
      <c r="H350" s="13">
        <f t="shared" si="188"/>
        <v>5062.88</v>
      </c>
      <c r="I350" s="13" t="s">
        <v>5</v>
      </c>
      <c r="J350" s="10"/>
      <c r="K350" s="7"/>
      <c r="L350" s="83"/>
      <c r="M350" s="11"/>
    </row>
    <row r="351" spans="1:17" ht="28.8" x14ac:dyDescent="0.35">
      <c r="B351" s="136"/>
      <c r="C351" s="84" t="s">
        <v>37</v>
      </c>
      <c r="D351" s="84" t="str">
        <f t="shared" ref="D351" si="190">C351</f>
        <v>TSLA</v>
      </c>
      <c r="E351" s="84">
        <f ca="1">E350</f>
        <v>396.80220000000003</v>
      </c>
      <c r="F351" s="8">
        <v>319.86</v>
      </c>
      <c r="G351" s="85">
        <f>G350</f>
        <v>16</v>
      </c>
      <c r="H351" s="84">
        <f t="shared" si="188"/>
        <v>5117.76</v>
      </c>
      <c r="I351" s="84"/>
      <c r="J351" s="71">
        <f>H351-H350</f>
        <v>54.880000000000109</v>
      </c>
      <c r="K351" s="72">
        <f>(H351/H350)-100%</f>
        <v>1.0839680182030742E-2</v>
      </c>
      <c r="L351" s="83"/>
      <c r="M351" s="11"/>
      <c r="N351" s="5" t="s">
        <v>222</v>
      </c>
      <c r="O351" s="5" t="s">
        <v>223</v>
      </c>
      <c r="P351" s="6" t="s">
        <v>38</v>
      </c>
    </row>
    <row r="352" spans="1:17" x14ac:dyDescent="0.35">
      <c r="A352" s="5">
        <v>0</v>
      </c>
      <c r="B352" s="143" t="s">
        <v>224</v>
      </c>
      <c r="C352" s="5" t="e" vm="39">
        <v>#VALUE!</v>
      </c>
      <c r="D352" s="97" t="e" vm="39">
        <f>C352</f>
        <v>#VALUE!</v>
      </c>
      <c r="E352" s="13" cm="1">
        <f t="array" aca="1" ref="E352" ca="1">_FV(D352,"Price")</f>
        <v>15.47</v>
      </c>
      <c r="F352" s="13">
        <v>10.71</v>
      </c>
      <c r="G352" s="73">
        <v>128.51599999999999</v>
      </c>
      <c r="H352" s="13">
        <f t="shared" ref="H352:H355" si="191">F352*G352</f>
        <v>1376.4063599999999</v>
      </c>
      <c r="I352" s="13" t="s">
        <v>5</v>
      </c>
      <c r="J352" s="10"/>
      <c r="K352" s="7"/>
      <c r="L352" s="83"/>
      <c r="M352" s="7"/>
      <c r="N352" s="13"/>
    </row>
    <row r="353" spans="1:16" x14ac:dyDescent="0.35">
      <c r="B353" s="203"/>
      <c r="C353" s="52" t="s">
        <v>225</v>
      </c>
      <c r="D353" s="52" t="str">
        <f>C353</f>
        <v>Mutual Fund TDB3540</v>
      </c>
      <c r="E353" s="52">
        <f ca="1">E352</f>
        <v>15.47</v>
      </c>
      <c r="F353" s="52">
        <f ca="1">E353</f>
        <v>15.47</v>
      </c>
      <c r="G353" s="77">
        <f>G352</f>
        <v>128.51599999999999</v>
      </c>
      <c r="H353" s="52">
        <f t="shared" ca="1" si="191"/>
        <v>1988.1425199999999</v>
      </c>
      <c r="I353" s="13"/>
      <c r="J353" s="10">
        <f ca="1">H353-H352</f>
        <v>611.73615999999993</v>
      </c>
      <c r="K353" s="7">
        <f ca="1">(H353/H352)-100%</f>
        <v>0.44444444444444442</v>
      </c>
      <c r="L353" s="83"/>
      <c r="M353" s="7"/>
      <c r="N353" s="13" t="s">
        <v>226</v>
      </c>
      <c r="O353" s="5" t="s">
        <v>227</v>
      </c>
    </row>
    <row r="354" spans="1:16" x14ac:dyDescent="0.35">
      <c r="B354" s="135" t="s">
        <v>35</v>
      </c>
      <c r="C354" s="16" t="e" vm="11">
        <v>#VALUE!</v>
      </c>
      <c r="D354" s="16" t="e" vm="11">
        <v>#VALUE!</v>
      </c>
      <c r="E354" s="16" cm="1">
        <f t="array" aca="1" ref="E354" ca="1">_FV(D354,"Price")</f>
        <v>396.80220000000003</v>
      </c>
      <c r="F354" s="8">
        <v>322.18</v>
      </c>
      <c r="G354" s="17">
        <v>30</v>
      </c>
      <c r="H354" s="16">
        <f t="shared" si="191"/>
        <v>9665.4</v>
      </c>
      <c r="I354" s="16" t="s">
        <v>5</v>
      </c>
      <c r="J354" s="10"/>
      <c r="K354" s="7"/>
      <c r="L354" s="83"/>
      <c r="M354" s="11"/>
    </row>
    <row r="355" spans="1:16" ht="28.8" x14ac:dyDescent="0.35">
      <c r="B355" s="136"/>
      <c r="C355" s="16" t="s">
        <v>37</v>
      </c>
      <c r="D355" s="16" t="str">
        <f t="shared" ref="D355" si="192">C355</f>
        <v>TSLA</v>
      </c>
      <c r="E355" s="16">
        <f ca="1">E354</f>
        <v>396.80220000000003</v>
      </c>
      <c r="F355" s="8">
        <v>319.86</v>
      </c>
      <c r="G355" s="17">
        <f>G354</f>
        <v>30</v>
      </c>
      <c r="H355" s="16">
        <f t="shared" si="191"/>
        <v>9595.8000000000011</v>
      </c>
      <c r="I355" s="16"/>
      <c r="J355" s="10">
        <f>H355-H354</f>
        <v>-69.599999999998545</v>
      </c>
      <c r="K355" s="7">
        <f>(H355/H354)-100%</f>
        <v>-7.2009435719161408E-3</v>
      </c>
      <c r="L355" s="83"/>
      <c r="M355" s="11"/>
      <c r="N355" s="5" t="s">
        <v>228</v>
      </c>
      <c r="O355" s="5" t="s">
        <v>223</v>
      </c>
      <c r="P355" s="6" t="s">
        <v>38</v>
      </c>
    </row>
    <row r="356" spans="1:16" x14ac:dyDescent="0.35">
      <c r="B356" s="135" t="s">
        <v>35</v>
      </c>
      <c r="C356" s="52" t="e" vm="11">
        <v>#VALUE!</v>
      </c>
      <c r="D356" s="52" t="e" vm="11">
        <v>#VALUE!</v>
      </c>
      <c r="E356" s="52" cm="1">
        <f t="array" aca="1" ref="E356" ca="1">_FV(D356,"Price")</f>
        <v>396.80220000000003</v>
      </c>
      <c r="F356" s="52">
        <v>347.85</v>
      </c>
      <c r="G356" s="54">
        <v>17</v>
      </c>
      <c r="H356" s="52">
        <f t="shared" ref="H356:H357" si="193">F356*G356</f>
        <v>5913.4500000000007</v>
      </c>
      <c r="I356" s="52" t="s">
        <v>5</v>
      </c>
      <c r="J356" s="10"/>
      <c r="K356" s="7"/>
      <c r="L356" s="83"/>
      <c r="M356" s="11"/>
    </row>
    <row r="357" spans="1:16" x14ac:dyDescent="0.35">
      <c r="B357" s="136"/>
      <c r="C357" s="99" t="s">
        <v>37</v>
      </c>
      <c r="D357" s="99" t="str">
        <f t="shared" ref="D357" si="194">C357</f>
        <v>TSLA</v>
      </c>
      <c r="E357" s="99">
        <f ca="1">E356</f>
        <v>396.80220000000003</v>
      </c>
      <c r="F357" s="99">
        <v>433.49</v>
      </c>
      <c r="G357" s="100">
        <f>G356</f>
        <v>17</v>
      </c>
      <c r="H357" s="99">
        <f t="shared" si="193"/>
        <v>7369.33</v>
      </c>
      <c r="I357" s="99"/>
      <c r="J357" s="10">
        <f>H357-H356</f>
        <v>1455.8799999999992</v>
      </c>
      <c r="K357" s="7">
        <f>(H357/H356)-100%</f>
        <v>0.24619807388242032</v>
      </c>
      <c r="L357" s="83"/>
      <c r="M357" s="11"/>
      <c r="N357" s="5" t="s">
        <v>229</v>
      </c>
      <c r="O357" s="5" t="s">
        <v>284</v>
      </c>
    </row>
    <row r="358" spans="1:16" x14ac:dyDescent="0.35">
      <c r="B358" s="141" t="s">
        <v>42</v>
      </c>
      <c r="C358" s="52" t="e" vm="11">
        <v>#VALUE!</v>
      </c>
      <c r="D358" s="52" t="e" vm="11">
        <v>#VALUE!</v>
      </c>
      <c r="E358" s="52" cm="1">
        <f t="array" aca="1" ref="E358" ca="1">_FV(D358,"Price")</f>
        <v>396.80220000000003</v>
      </c>
      <c r="F358" s="52">
        <v>348.37</v>
      </c>
      <c r="G358" s="54">
        <v>19</v>
      </c>
      <c r="H358" s="52">
        <f t="shared" ref="H358:H363" si="195">F358*G358</f>
        <v>6619.03</v>
      </c>
      <c r="I358" s="52" t="s">
        <v>5</v>
      </c>
      <c r="J358" s="10"/>
      <c r="K358" s="7"/>
      <c r="L358" s="83"/>
      <c r="M358" s="11"/>
    </row>
    <row r="359" spans="1:16" x14ac:dyDescent="0.35">
      <c r="B359" s="142"/>
      <c r="C359" s="99" t="s">
        <v>37</v>
      </c>
      <c r="D359" s="99" t="str">
        <f t="shared" ref="D359" si="196">C359</f>
        <v>TSLA</v>
      </c>
      <c r="E359" s="99">
        <f ca="1">E358</f>
        <v>396.80220000000003</v>
      </c>
      <c r="F359" s="99">
        <v>433.69</v>
      </c>
      <c r="G359" s="100">
        <f>G358</f>
        <v>19</v>
      </c>
      <c r="H359" s="99">
        <f t="shared" si="195"/>
        <v>8240.11</v>
      </c>
      <c r="I359" s="99"/>
      <c r="J359" s="71">
        <f>H359-H358</f>
        <v>1621.0800000000008</v>
      </c>
      <c r="K359" s="72">
        <f>(H359/H358)-100%</f>
        <v>0.2449120188305538</v>
      </c>
      <c r="L359" s="83"/>
      <c r="M359" s="11"/>
      <c r="N359" s="5" t="s">
        <v>229</v>
      </c>
      <c r="O359" s="5" t="s">
        <v>284</v>
      </c>
    </row>
    <row r="360" spans="1:16" x14ac:dyDescent="0.35">
      <c r="A360" s="13"/>
      <c r="B360" s="143" t="s">
        <v>32</v>
      </c>
      <c r="C360" s="52" t="e" vm="11">
        <v>#VALUE!</v>
      </c>
      <c r="D360" s="52" t="e" vm="11">
        <v>#VALUE!</v>
      </c>
      <c r="E360" s="52" cm="1">
        <f t="array" aca="1" ref="E360" ca="1">_FV(D360,"Price")</f>
        <v>396.80220000000003</v>
      </c>
      <c r="F360" s="52">
        <v>339.56</v>
      </c>
      <c r="G360" s="54">
        <v>57</v>
      </c>
      <c r="H360" s="52">
        <f t="shared" si="195"/>
        <v>19354.920000000002</v>
      </c>
      <c r="I360" s="52" t="s">
        <v>5</v>
      </c>
      <c r="J360" s="10"/>
      <c r="K360" s="7"/>
      <c r="L360" s="83"/>
      <c r="M360" s="11"/>
    </row>
    <row r="361" spans="1:16" x14ac:dyDescent="0.35">
      <c r="A361" s="13"/>
      <c r="B361" s="143"/>
      <c r="C361" s="52" t="s">
        <v>37</v>
      </c>
      <c r="D361" s="52" t="str">
        <f t="shared" ref="D361" si="197">C361</f>
        <v>TSLA</v>
      </c>
      <c r="E361" s="52">
        <f ca="1">E360</f>
        <v>396.80220000000003</v>
      </c>
      <c r="F361" s="52">
        <v>342.33</v>
      </c>
      <c r="G361" s="54">
        <f>G360</f>
        <v>57</v>
      </c>
      <c r="H361" s="52">
        <f t="shared" si="195"/>
        <v>19512.809999999998</v>
      </c>
      <c r="I361" s="52"/>
      <c r="J361" s="10">
        <f>H361-H360</f>
        <v>157.88999999999578</v>
      </c>
      <c r="K361" s="7">
        <f>(H361/H360)-100%</f>
        <v>8.1576157380136571E-3</v>
      </c>
      <c r="L361" s="83"/>
      <c r="M361" s="11"/>
      <c r="N361" s="5" t="s">
        <v>230</v>
      </c>
      <c r="O361" s="5" t="s">
        <v>231</v>
      </c>
    </row>
    <row r="362" spans="1:16" x14ac:dyDescent="0.35">
      <c r="B362" s="199" t="s">
        <v>44</v>
      </c>
      <c r="C362" s="52" t="e" vm="11">
        <v>#VALUE!</v>
      </c>
      <c r="D362" s="52" t="e" vm="11">
        <v>#VALUE!</v>
      </c>
      <c r="E362" s="52" cm="1">
        <f t="array" aca="1" ref="E362" ca="1">_FV(D362,"Price")</f>
        <v>396.80220000000003</v>
      </c>
      <c r="F362" s="52">
        <v>360</v>
      </c>
      <c r="G362" s="54">
        <v>27</v>
      </c>
      <c r="H362" s="52">
        <f t="shared" si="195"/>
        <v>9720</v>
      </c>
      <c r="I362" s="52" t="s">
        <v>5</v>
      </c>
      <c r="J362" s="45"/>
      <c r="K362" s="46"/>
      <c r="L362" s="83"/>
      <c r="M362" s="123"/>
    </row>
    <row r="363" spans="1:16" x14ac:dyDescent="0.35">
      <c r="B363" s="200"/>
      <c r="C363" s="99" t="s">
        <v>37</v>
      </c>
      <c r="D363" s="99" t="str">
        <f t="shared" ref="D363" si="198">C363</f>
        <v>TSLA</v>
      </c>
      <c r="E363" s="99">
        <f ca="1">E362</f>
        <v>396.80220000000003</v>
      </c>
      <c r="F363" s="99">
        <v>361</v>
      </c>
      <c r="G363" s="100">
        <f>G362</f>
        <v>27</v>
      </c>
      <c r="H363" s="99">
        <f t="shared" si="195"/>
        <v>9747</v>
      </c>
      <c r="I363" s="99"/>
      <c r="J363" s="45">
        <f>H363-H362</f>
        <v>27</v>
      </c>
      <c r="K363" s="46">
        <f>(H363/H362)-100%</f>
        <v>2.7777777777777679E-3</v>
      </c>
      <c r="L363" s="83"/>
      <c r="M363" s="123"/>
      <c r="N363" s="5" t="s">
        <v>232</v>
      </c>
      <c r="O363" s="5" t="s">
        <v>277</v>
      </c>
    </row>
    <row r="364" spans="1:16" x14ac:dyDescent="0.35">
      <c r="B364" s="141" t="s">
        <v>42</v>
      </c>
      <c r="C364" s="52" t="e" vm="11">
        <v>#VALUE!</v>
      </c>
      <c r="D364" s="52" t="e" vm="11">
        <v>#VALUE!</v>
      </c>
      <c r="E364" s="52" cm="1">
        <f t="array" aca="1" ref="E364" ca="1">_FV(D364,"Price")</f>
        <v>396.80220000000003</v>
      </c>
      <c r="F364" s="52">
        <v>338.1</v>
      </c>
      <c r="G364" s="54">
        <v>15</v>
      </c>
      <c r="H364" s="52">
        <f t="shared" ref="H364:H367" si="199">F364*G364</f>
        <v>5071.5</v>
      </c>
      <c r="I364" s="52" t="s">
        <v>5</v>
      </c>
      <c r="J364" s="10"/>
      <c r="K364" s="7"/>
      <c r="L364" s="83"/>
      <c r="M364" s="11"/>
    </row>
    <row r="365" spans="1:16" x14ac:dyDescent="0.35">
      <c r="B365" s="142"/>
      <c r="C365" s="99" t="s">
        <v>37</v>
      </c>
      <c r="D365" s="99" t="str">
        <f t="shared" ref="D365:D367" si="200">C365</f>
        <v>TSLA</v>
      </c>
      <c r="E365" s="99">
        <f ca="1">E364</f>
        <v>396.80220000000003</v>
      </c>
      <c r="F365" s="99">
        <v>433.69</v>
      </c>
      <c r="G365" s="100">
        <f>G364</f>
        <v>15</v>
      </c>
      <c r="H365" s="99">
        <f t="shared" si="199"/>
        <v>6505.35</v>
      </c>
      <c r="I365" s="99"/>
      <c r="J365" s="10">
        <f>H365-H364</f>
        <v>1433.8500000000004</v>
      </c>
      <c r="K365" s="7">
        <f>(H365/H364)-100%</f>
        <v>0.28272700384501626</v>
      </c>
      <c r="L365" s="83"/>
      <c r="M365" s="11"/>
      <c r="N365" s="5" t="s">
        <v>233</v>
      </c>
      <c r="O365" s="5" t="s">
        <v>284</v>
      </c>
    </row>
    <row r="366" spans="1:16" x14ac:dyDescent="0.35">
      <c r="B366" s="143" t="s">
        <v>234</v>
      </c>
      <c r="C366" s="52" t="e" vm="29">
        <v>#VALUE!</v>
      </c>
      <c r="D366" s="52" t="e" vm="29">
        <f t="shared" si="200"/>
        <v>#VALUE!</v>
      </c>
      <c r="E366" s="52" cm="1">
        <f t="array" aca="1" ref="E366" ca="1">_FV(D366,"Price")</f>
        <v>178.07</v>
      </c>
      <c r="F366" s="52">
        <v>144.31</v>
      </c>
      <c r="G366" s="54">
        <v>24</v>
      </c>
      <c r="H366" s="52">
        <f t="shared" si="199"/>
        <v>3463.44</v>
      </c>
      <c r="I366" s="52" t="s">
        <v>5</v>
      </c>
      <c r="J366" s="45"/>
      <c r="K366" s="46"/>
      <c r="L366" s="83"/>
      <c r="M366" s="123"/>
    </row>
    <row r="367" spans="1:16" x14ac:dyDescent="0.35">
      <c r="B367" s="143"/>
      <c r="C367" s="52" t="s">
        <v>121</v>
      </c>
      <c r="D367" s="52" t="str">
        <f t="shared" si="200"/>
        <v>SHOPIFY</v>
      </c>
      <c r="E367" s="52">
        <f ca="1">E366</f>
        <v>178.07</v>
      </c>
      <c r="F367" s="52">
        <v>175.6</v>
      </c>
      <c r="G367" s="54">
        <f>G366</f>
        <v>24</v>
      </c>
      <c r="H367" s="52">
        <f t="shared" si="199"/>
        <v>4214.3999999999996</v>
      </c>
      <c r="I367" s="52"/>
      <c r="J367" s="10">
        <f>H367-H366</f>
        <v>750.95999999999958</v>
      </c>
      <c r="K367" s="7">
        <f>(H367/H366)-100%</f>
        <v>0.21682489085995416</v>
      </c>
      <c r="L367" s="83"/>
      <c r="M367" s="11"/>
      <c r="N367" s="5" t="s">
        <v>235</v>
      </c>
      <c r="O367" s="5" t="s">
        <v>236</v>
      </c>
    </row>
    <row r="368" spans="1:16" x14ac:dyDescent="0.35">
      <c r="B368" s="143" t="s">
        <v>234</v>
      </c>
      <c r="C368" s="52" t="e" vm="40">
        <v>#VALUE!</v>
      </c>
      <c r="D368" s="52" t="e" vm="40">
        <f t="shared" ref="D368:D369" si="201">C368</f>
        <v>#VALUE!</v>
      </c>
      <c r="E368" s="52" cm="1">
        <f t="array" aca="1" ref="E368" ca="1">_FV(D368,"Price")</f>
        <v>192.8</v>
      </c>
      <c r="F368" s="52">
        <v>147.97</v>
      </c>
      <c r="G368" s="54">
        <v>16</v>
      </c>
      <c r="H368" s="52">
        <f t="shared" ref="H368:H375" si="202">F368*G368</f>
        <v>2367.52</v>
      </c>
      <c r="I368" s="52" t="s">
        <v>5</v>
      </c>
      <c r="J368" s="45"/>
      <c r="K368" s="46"/>
      <c r="L368" s="83"/>
      <c r="M368" s="123"/>
    </row>
    <row r="369" spans="1:16" x14ac:dyDescent="0.35">
      <c r="B369" s="143"/>
      <c r="C369" s="52" t="s">
        <v>237</v>
      </c>
      <c r="D369" s="52" t="str">
        <f t="shared" si="201"/>
        <v>BMO</v>
      </c>
      <c r="E369" s="52">
        <f ca="1">E368</f>
        <v>192.8</v>
      </c>
      <c r="F369" s="52">
        <v>157.09</v>
      </c>
      <c r="G369" s="54">
        <f>G368</f>
        <v>16</v>
      </c>
      <c r="H369" s="52">
        <f t="shared" si="202"/>
        <v>2513.44</v>
      </c>
      <c r="I369" s="52"/>
      <c r="J369" s="10">
        <f>H369-H368</f>
        <v>145.92000000000007</v>
      </c>
      <c r="K369" s="7">
        <f>(H369/H368)-100%</f>
        <v>6.1634115023315506E-2</v>
      </c>
      <c r="L369" s="83"/>
      <c r="M369" s="11"/>
      <c r="N369" s="5" t="s">
        <v>235</v>
      </c>
      <c r="O369" s="5" t="s">
        <v>236</v>
      </c>
    </row>
    <row r="370" spans="1:16" x14ac:dyDescent="0.35">
      <c r="B370" s="201" t="s">
        <v>35</v>
      </c>
      <c r="C370" s="47" t="e" vm="11">
        <v>#VALUE!</v>
      </c>
      <c r="D370" s="47" t="e" vm="11">
        <v>#VALUE!</v>
      </c>
      <c r="E370" s="47" cm="1">
        <f t="array" aca="1" ref="E370" ca="1">_FV(D370,"Price")</f>
        <v>396.80220000000003</v>
      </c>
      <c r="F370" s="47">
        <v>328.98</v>
      </c>
      <c r="G370" s="48">
        <v>15</v>
      </c>
      <c r="H370" s="47">
        <f t="shared" si="202"/>
        <v>4934.7000000000007</v>
      </c>
      <c r="I370" s="47" t="s">
        <v>5</v>
      </c>
      <c r="J370" s="10"/>
      <c r="K370" s="7"/>
      <c r="L370" s="83"/>
      <c r="M370" s="11"/>
    </row>
    <row r="371" spans="1:16" ht="28.8" x14ac:dyDescent="0.35">
      <c r="B371" s="202"/>
      <c r="C371" s="93" t="s">
        <v>37</v>
      </c>
      <c r="D371" s="93" t="str">
        <f>C371</f>
        <v>TSLA</v>
      </c>
      <c r="E371" s="93">
        <f ca="1">E370</f>
        <v>396.80220000000003</v>
      </c>
      <c r="F371" s="93">
        <v>335.17</v>
      </c>
      <c r="G371" s="94">
        <f>G370</f>
        <v>15</v>
      </c>
      <c r="H371" s="93">
        <f t="shared" si="202"/>
        <v>5027.55</v>
      </c>
      <c r="I371" s="93"/>
      <c r="J371" s="71">
        <f>H371-H370</f>
        <v>92.849999999999454</v>
      </c>
      <c r="K371" s="72">
        <f>(H371/H370)-100%</f>
        <v>1.8815733479238705E-2</v>
      </c>
      <c r="L371" s="83"/>
      <c r="M371" s="11"/>
      <c r="N371" s="5" t="s">
        <v>235</v>
      </c>
      <c r="O371" s="5" t="s">
        <v>238</v>
      </c>
      <c r="P371" s="6" t="s">
        <v>38</v>
      </c>
    </row>
    <row r="372" spans="1:16" x14ac:dyDescent="0.35">
      <c r="A372" s="13"/>
      <c r="B372" s="135" t="s">
        <v>35</v>
      </c>
      <c r="C372" s="13" t="e" vm="11">
        <v>#VALUE!</v>
      </c>
      <c r="D372" s="13" t="e" vm="11">
        <v>#VALUE!</v>
      </c>
      <c r="E372" s="13" cm="1">
        <f t="array" aca="1" ref="E372" ca="1">_FV(D372,"Price")</f>
        <v>396.80220000000003</v>
      </c>
      <c r="F372" s="8">
        <v>314.01</v>
      </c>
      <c r="G372" s="14">
        <v>15</v>
      </c>
      <c r="H372" s="13">
        <f t="shared" si="202"/>
        <v>4710.1499999999996</v>
      </c>
      <c r="I372" s="13" t="s">
        <v>5</v>
      </c>
      <c r="J372" s="10"/>
      <c r="K372" s="7"/>
      <c r="L372" s="83"/>
      <c r="M372" s="11"/>
    </row>
    <row r="373" spans="1:16" ht="28.8" x14ac:dyDescent="0.35">
      <c r="A373" s="13"/>
      <c r="B373" s="136"/>
      <c r="C373" s="13" t="s">
        <v>37</v>
      </c>
      <c r="D373" s="13" t="str">
        <f t="shared" ref="D373" si="203">C373</f>
        <v>TSLA</v>
      </c>
      <c r="E373" s="13">
        <f ca="1">E372</f>
        <v>396.80220000000003</v>
      </c>
      <c r="F373" s="8">
        <v>319.86</v>
      </c>
      <c r="G373" s="14">
        <f>G372</f>
        <v>15</v>
      </c>
      <c r="H373" s="13">
        <f t="shared" si="202"/>
        <v>4797.9000000000005</v>
      </c>
      <c r="I373" s="13"/>
      <c r="J373" s="10">
        <f>H373-H372</f>
        <v>87.750000000000909</v>
      </c>
      <c r="K373" s="7">
        <f>(H373/H372)-100%</f>
        <v>1.8629979936944929E-2</v>
      </c>
      <c r="L373" s="83"/>
      <c r="M373" s="11"/>
      <c r="N373" s="5" t="s">
        <v>239</v>
      </c>
      <c r="O373" s="5" t="s">
        <v>223</v>
      </c>
      <c r="P373" s="6" t="s">
        <v>38</v>
      </c>
    </row>
    <row r="374" spans="1:16" x14ac:dyDescent="0.35">
      <c r="B374" s="141" t="s">
        <v>42</v>
      </c>
      <c r="C374" s="52" t="e" vm="11">
        <v>#VALUE!</v>
      </c>
      <c r="D374" s="52" t="e" vm="11">
        <v>#VALUE!</v>
      </c>
      <c r="E374" s="52" cm="1">
        <f t="array" aca="1" ref="E374" ca="1">_FV(D374,"Price")</f>
        <v>396.80220000000003</v>
      </c>
      <c r="F374" s="52">
        <v>294.60000000000002</v>
      </c>
      <c r="G374" s="54">
        <v>10</v>
      </c>
      <c r="H374" s="52">
        <f t="shared" si="202"/>
        <v>2946</v>
      </c>
      <c r="I374" s="52" t="s">
        <v>5</v>
      </c>
      <c r="J374" s="10"/>
      <c r="K374" s="7"/>
      <c r="L374" s="83"/>
      <c r="M374" s="11"/>
    </row>
    <row r="375" spans="1:16" x14ac:dyDescent="0.35">
      <c r="B375" s="142"/>
      <c r="C375" s="52" t="s">
        <v>37</v>
      </c>
      <c r="D375" s="52" t="str">
        <f t="shared" ref="D375" si="204">C375</f>
        <v>TSLA</v>
      </c>
      <c r="E375" s="52">
        <f ca="1">E374</f>
        <v>396.80220000000003</v>
      </c>
      <c r="F375" s="52">
        <v>433.69</v>
      </c>
      <c r="G375" s="54">
        <f>G374</f>
        <v>10</v>
      </c>
      <c r="H375" s="52">
        <f t="shared" si="202"/>
        <v>4336.8999999999996</v>
      </c>
      <c r="I375" s="52"/>
      <c r="J375" s="10">
        <f>H375-H374</f>
        <v>1390.8999999999996</v>
      </c>
      <c r="K375" s="7">
        <f>(H375/H374)-100%</f>
        <v>0.47213170400543092</v>
      </c>
      <c r="L375" s="83"/>
      <c r="M375" s="11"/>
      <c r="N375" s="5" t="s">
        <v>240</v>
      </c>
      <c r="O375" s="5" t="s">
        <v>284</v>
      </c>
    </row>
    <row r="376" spans="1:16" x14ac:dyDescent="0.35">
      <c r="A376" s="5">
        <v>1</v>
      </c>
      <c r="B376" s="141" t="s">
        <v>382</v>
      </c>
      <c r="C376" s="16" t="e" vm="11">
        <v>#VALUE!</v>
      </c>
      <c r="D376" s="16" t="e" vm="11">
        <v>#VALUE!</v>
      </c>
      <c r="E376" s="16" cm="1">
        <f t="array" aca="1" ref="E376" ca="1">_FV(D376,"Price")</f>
        <v>396.80220000000003</v>
      </c>
      <c r="F376" s="16">
        <v>294.60000000000002</v>
      </c>
      <c r="G376" s="17">
        <v>10</v>
      </c>
      <c r="H376" s="16">
        <f t="shared" ref="H376:H377" si="205">F376*G376</f>
        <v>2946</v>
      </c>
      <c r="I376" s="16" t="s">
        <v>5</v>
      </c>
      <c r="J376" s="10"/>
      <c r="K376" s="7"/>
      <c r="L376" s="83"/>
      <c r="M376" s="11"/>
    </row>
    <row r="377" spans="1:16" x14ac:dyDescent="0.35">
      <c r="A377" s="5">
        <v>1</v>
      </c>
      <c r="B377" s="142"/>
      <c r="C377" s="86" t="s">
        <v>37</v>
      </c>
      <c r="D377" s="86" t="str">
        <f t="shared" ref="D377" si="206">C377</f>
        <v>TSLA</v>
      </c>
      <c r="E377" s="86">
        <f ca="1">E376</f>
        <v>396.80220000000003</v>
      </c>
      <c r="F377" s="86">
        <f ca="1">E377</f>
        <v>396.80220000000003</v>
      </c>
      <c r="G377" s="87">
        <f>G376</f>
        <v>10</v>
      </c>
      <c r="H377" s="86">
        <f t="shared" ca="1" si="205"/>
        <v>3968.0220000000004</v>
      </c>
      <c r="I377" s="86"/>
      <c r="J377" s="10">
        <f ca="1">H377-H376</f>
        <v>1022.0220000000004</v>
      </c>
      <c r="K377" s="7">
        <f ca="1">(H377/H376)-100%</f>
        <v>0.34691853360488811</v>
      </c>
      <c r="L377" s="83">
        <v>45817</v>
      </c>
      <c r="M377" s="11"/>
      <c r="N377" s="5" t="s">
        <v>240</v>
      </c>
    </row>
    <row r="378" spans="1:16" x14ac:dyDescent="0.35">
      <c r="B378" s="135" t="s">
        <v>35</v>
      </c>
      <c r="C378" s="13" t="e" vm="11">
        <v>#VALUE!</v>
      </c>
      <c r="D378" s="13" t="e" vm="11">
        <v>#VALUE!</v>
      </c>
      <c r="E378" s="13" cm="1">
        <f t="array" aca="1" ref="E378" ca="1">_FV(D378,"Price")</f>
        <v>396.80220000000003</v>
      </c>
      <c r="F378" s="8">
        <v>313.70999999999998</v>
      </c>
      <c r="G378" s="14">
        <v>20</v>
      </c>
      <c r="H378" s="13">
        <f t="shared" ref="H378:H381" si="207">F378*G378</f>
        <v>6274.2</v>
      </c>
      <c r="I378" s="13" t="s">
        <v>5</v>
      </c>
      <c r="J378" s="10"/>
      <c r="K378" s="7"/>
      <c r="L378" s="83"/>
      <c r="M378" s="11"/>
    </row>
    <row r="379" spans="1:16" x14ac:dyDescent="0.35">
      <c r="B379" s="136"/>
      <c r="C379" s="13" t="s">
        <v>37</v>
      </c>
      <c r="D379" s="13" t="str">
        <f t="shared" ref="D379" si="208">C379</f>
        <v>TSLA</v>
      </c>
      <c r="E379" s="13">
        <f ca="1">E378</f>
        <v>396.80220000000003</v>
      </c>
      <c r="F379" s="8">
        <v>319.86</v>
      </c>
      <c r="G379" s="14">
        <f>G378</f>
        <v>20</v>
      </c>
      <c r="H379" s="13">
        <f t="shared" si="207"/>
        <v>6397.2000000000007</v>
      </c>
      <c r="I379" s="13"/>
      <c r="J379" s="10">
        <f>H379-H378</f>
        <v>123.00000000000091</v>
      </c>
      <c r="K379" s="7">
        <f>(H379/H378)-100%</f>
        <v>1.9604092952089758E-2</v>
      </c>
      <c r="L379" s="83"/>
      <c r="M379" s="11"/>
      <c r="N379" s="5" t="s">
        <v>241</v>
      </c>
      <c r="O379" s="5" t="s">
        <v>223</v>
      </c>
    </row>
    <row r="380" spans="1:16" x14ac:dyDescent="0.35">
      <c r="B380" s="183" t="s">
        <v>102</v>
      </c>
      <c r="C380" s="63" t="e" vm="11">
        <v>#VALUE!</v>
      </c>
      <c r="D380" s="63" t="e" vm="11">
        <v>#VALUE!</v>
      </c>
      <c r="E380" s="63" cm="1">
        <f t="array" aca="1" ref="E380" ca="1">_FV(D380,"Price")</f>
        <v>396.80220000000003</v>
      </c>
      <c r="F380" s="63">
        <v>319.49</v>
      </c>
      <c r="G380" s="64">
        <v>9</v>
      </c>
      <c r="H380" s="63">
        <f t="shared" si="207"/>
        <v>2875.41</v>
      </c>
      <c r="I380" s="63" t="s">
        <v>5</v>
      </c>
      <c r="J380" s="10"/>
      <c r="K380" s="7"/>
      <c r="L380" s="83"/>
      <c r="M380" s="11"/>
    </row>
    <row r="381" spans="1:16" x14ac:dyDescent="0.35">
      <c r="B381" s="184"/>
      <c r="C381" s="90" t="s">
        <v>37</v>
      </c>
      <c r="D381" s="90" t="str">
        <f t="shared" ref="D381" si="209">C381</f>
        <v>TSLA</v>
      </c>
      <c r="E381" s="90">
        <f ca="1">E380</f>
        <v>396.80220000000003</v>
      </c>
      <c r="F381" s="90">
        <v>328.91</v>
      </c>
      <c r="G381" s="91">
        <f>G380</f>
        <v>9</v>
      </c>
      <c r="H381" s="90">
        <f t="shared" si="207"/>
        <v>2960.19</v>
      </c>
      <c r="I381" s="90"/>
      <c r="J381" s="10">
        <f>H381-H380</f>
        <v>84.7800000000002</v>
      </c>
      <c r="K381" s="7">
        <f>(H381/H380)-100%</f>
        <v>2.9484490907383698E-2</v>
      </c>
      <c r="L381" s="83"/>
      <c r="M381" s="11"/>
      <c r="N381" s="5" t="s">
        <v>242</v>
      </c>
      <c r="O381" s="5" t="s">
        <v>236</v>
      </c>
    </row>
    <row r="382" spans="1:16" x14ac:dyDescent="0.35">
      <c r="B382" s="135" t="s">
        <v>35</v>
      </c>
      <c r="C382" s="52" t="e" vm="11">
        <v>#VALUE!</v>
      </c>
      <c r="D382" s="52" t="e" vm="11">
        <v>#VALUE!</v>
      </c>
      <c r="E382" s="52" cm="1">
        <f t="array" aca="1" ref="E382" ca="1">_FV(D382,"Price")</f>
        <v>396.80220000000003</v>
      </c>
      <c r="F382" s="52">
        <v>328.45</v>
      </c>
      <c r="G382" s="54">
        <v>32</v>
      </c>
      <c r="H382" s="52">
        <f t="shared" ref="H382:H395" si="210">F382*G382</f>
        <v>10510.4</v>
      </c>
      <c r="I382" s="52" t="s">
        <v>5</v>
      </c>
      <c r="J382" s="10"/>
      <c r="K382" s="7"/>
      <c r="L382" s="83"/>
      <c r="M382" s="11"/>
    </row>
    <row r="383" spans="1:16" x14ac:dyDescent="0.35">
      <c r="B383" s="136"/>
      <c r="C383" s="52" t="s">
        <v>37</v>
      </c>
      <c r="D383" s="52" t="str">
        <f t="shared" ref="D383" si="211">C383</f>
        <v>TSLA</v>
      </c>
      <c r="E383" s="52">
        <f ca="1">E382</f>
        <v>396.80220000000003</v>
      </c>
      <c r="F383" s="52">
        <v>325.51</v>
      </c>
      <c r="G383" s="54">
        <f>G382</f>
        <v>32</v>
      </c>
      <c r="H383" s="52">
        <f t="shared" si="210"/>
        <v>10416.32</v>
      </c>
      <c r="I383" s="52"/>
      <c r="J383" s="10">
        <f>H383-H382</f>
        <v>-94.079999999999927</v>
      </c>
      <c r="K383" s="7">
        <f>(H383/H382)-100%</f>
        <v>-8.9511341147815449E-3</v>
      </c>
      <c r="L383" s="83"/>
      <c r="M383" s="11"/>
      <c r="N383" s="5" t="s">
        <v>243</v>
      </c>
      <c r="O383" s="5" t="s">
        <v>244</v>
      </c>
    </row>
    <row r="384" spans="1:16" x14ac:dyDescent="0.35">
      <c r="B384" s="201" t="s">
        <v>35</v>
      </c>
      <c r="C384" s="52" t="e" vm="41">
        <v>#VALUE!</v>
      </c>
      <c r="D384" s="52" t="e" vm="41">
        <f>C384</f>
        <v>#VALUE!</v>
      </c>
      <c r="E384" s="52" cm="1">
        <f t="array" aca="1" ref="E384" ca="1">_FV(D384,"Price")</f>
        <v>77.075000000000003</v>
      </c>
      <c r="F384" s="52">
        <v>93.77</v>
      </c>
      <c r="G384" s="54">
        <v>84</v>
      </c>
      <c r="H384" s="52">
        <f t="shared" si="210"/>
        <v>7876.6799999999994</v>
      </c>
      <c r="I384" s="52" t="s">
        <v>5</v>
      </c>
      <c r="J384" s="10"/>
      <c r="K384" s="7"/>
      <c r="L384" s="83"/>
      <c r="M384" s="11"/>
    </row>
    <row r="385" spans="1:15" x14ac:dyDescent="0.35">
      <c r="B385" s="202"/>
      <c r="C385" s="52" t="s">
        <v>245</v>
      </c>
      <c r="D385" s="52" t="str">
        <f t="shared" ref="D385" si="212">C385</f>
        <v>HOOD</v>
      </c>
      <c r="E385" s="52">
        <f ca="1">E384</f>
        <v>77.075000000000003</v>
      </c>
      <c r="F385" s="52">
        <v>92.5</v>
      </c>
      <c r="G385" s="54">
        <f>G384</f>
        <v>84</v>
      </c>
      <c r="H385" s="52">
        <f t="shared" si="210"/>
        <v>7770</v>
      </c>
      <c r="I385" s="52"/>
      <c r="J385" s="10">
        <f>H385-H384</f>
        <v>-106.67999999999938</v>
      </c>
      <c r="K385" s="7">
        <f>(H385/H384)-100%</f>
        <v>-1.3543777327503337E-2</v>
      </c>
      <c r="L385" s="83"/>
      <c r="M385" s="11"/>
      <c r="N385" s="5" t="s">
        <v>246</v>
      </c>
      <c r="O385" s="5" t="s">
        <v>247</v>
      </c>
    </row>
    <row r="386" spans="1:15" x14ac:dyDescent="0.35">
      <c r="A386" s="5">
        <v>1</v>
      </c>
      <c r="B386" s="141" t="s">
        <v>382</v>
      </c>
      <c r="C386" s="13" t="e" vm="11">
        <v>#VALUE!</v>
      </c>
      <c r="D386" s="13" t="e" vm="11">
        <v>#VALUE!</v>
      </c>
      <c r="E386" s="13" cm="1">
        <f t="array" aca="1" ref="E386" ca="1">_FV(D386,"Price")</f>
        <v>396.80220000000003</v>
      </c>
      <c r="F386" s="13">
        <v>290.22000000000003</v>
      </c>
      <c r="G386" s="14">
        <v>7</v>
      </c>
      <c r="H386" s="13">
        <f t="shared" si="210"/>
        <v>2031.5400000000002</v>
      </c>
      <c r="I386" s="13" t="s">
        <v>5</v>
      </c>
      <c r="J386" s="10"/>
      <c r="K386" s="7"/>
      <c r="L386" s="83"/>
      <c r="M386" s="11"/>
    </row>
    <row r="387" spans="1:15" x14ac:dyDescent="0.35">
      <c r="A387" s="5">
        <v>1</v>
      </c>
      <c r="B387" s="142"/>
      <c r="C387" s="13" t="s">
        <v>37</v>
      </c>
      <c r="D387" s="13" t="str">
        <f t="shared" ref="D387:D391" si="213">C387</f>
        <v>TSLA</v>
      </c>
      <c r="E387" s="13">
        <f ca="1">E386</f>
        <v>396.80220000000003</v>
      </c>
      <c r="F387" s="13">
        <f ca="1">E387</f>
        <v>396.80220000000003</v>
      </c>
      <c r="G387" s="14">
        <f>G386</f>
        <v>7</v>
      </c>
      <c r="H387" s="13">
        <f t="shared" ca="1" si="210"/>
        <v>2777.6154000000001</v>
      </c>
      <c r="I387" s="13"/>
      <c r="J387" s="10">
        <f ca="1">H387-H386</f>
        <v>746.07539999999995</v>
      </c>
      <c r="K387" s="7">
        <f ca="1">(H387/H386)-100%</f>
        <v>0.36724622700020659</v>
      </c>
      <c r="L387" s="83">
        <v>45845</v>
      </c>
      <c r="M387" s="11"/>
      <c r="N387" s="5" t="s">
        <v>248</v>
      </c>
    </row>
    <row r="388" spans="1:15" x14ac:dyDescent="0.35">
      <c r="B388" s="135" t="s">
        <v>35</v>
      </c>
      <c r="C388" s="63" t="e" vm="25">
        <v>#VALUE!</v>
      </c>
      <c r="D388" s="63" t="e" vm="25">
        <f t="shared" si="213"/>
        <v>#VALUE!</v>
      </c>
      <c r="E388" s="63" cm="1">
        <f t="array" aca="1" ref="E388" ca="1">_FV(D388,"Price")</f>
        <v>177.64</v>
      </c>
      <c r="F388" s="63">
        <v>165.99</v>
      </c>
      <c r="G388" s="64">
        <v>30</v>
      </c>
      <c r="H388" s="63">
        <f t="shared" si="210"/>
        <v>4979.7000000000007</v>
      </c>
      <c r="I388" s="63" t="s">
        <v>5</v>
      </c>
      <c r="J388" s="10"/>
      <c r="K388" s="7"/>
      <c r="L388" s="83"/>
      <c r="M388" s="11"/>
    </row>
    <row r="389" spans="1:15" x14ac:dyDescent="0.35">
      <c r="B389" s="136"/>
      <c r="C389" s="63" t="s">
        <v>101</v>
      </c>
      <c r="D389" s="63" t="str">
        <f t="shared" si="213"/>
        <v>NVDA</v>
      </c>
      <c r="E389" s="63">
        <f ca="1">E388</f>
        <v>177.64</v>
      </c>
      <c r="F389" s="63">
        <v>175.98</v>
      </c>
      <c r="G389" s="64">
        <f>G388</f>
        <v>30</v>
      </c>
      <c r="H389" s="63">
        <f t="shared" si="210"/>
        <v>5279.4</v>
      </c>
      <c r="I389" s="63"/>
      <c r="J389" s="10">
        <f>H389-H388</f>
        <v>299.69999999999891</v>
      </c>
      <c r="K389" s="7">
        <f>(H389/H388)-100%</f>
        <v>6.0184348454725978E-2</v>
      </c>
      <c r="L389" s="83"/>
      <c r="M389" s="11"/>
      <c r="N389" s="5" t="s">
        <v>249</v>
      </c>
      <c r="O389" s="5" t="s">
        <v>289</v>
      </c>
    </row>
    <row r="390" spans="1:15" x14ac:dyDescent="0.35">
      <c r="B390" s="143" t="s">
        <v>250</v>
      </c>
      <c r="C390" s="52" t="e" vm="42">
        <v>#VALUE!</v>
      </c>
      <c r="D390" s="52" t="e" vm="42">
        <f t="shared" si="213"/>
        <v>#VALUE!</v>
      </c>
      <c r="E390" s="52" cm="1">
        <f t="array" aca="1" ref="E390" ca="1">_FV(D390,"Price")</f>
        <v>29.67</v>
      </c>
      <c r="F390" s="52">
        <v>24.12</v>
      </c>
      <c r="G390" s="54">
        <v>33</v>
      </c>
      <c r="H390" s="52">
        <f t="shared" si="210"/>
        <v>795.96</v>
      </c>
      <c r="I390" s="52" t="s">
        <v>5</v>
      </c>
      <c r="J390" s="45"/>
      <c r="K390" s="46"/>
      <c r="L390" s="83"/>
      <c r="M390" s="123"/>
    </row>
    <row r="391" spans="1:15" x14ac:dyDescent="0.35">
      <c r="B391" s="203"/>
      <c r="C391" s="52" t="s">
        <v>251</v>
      </c>
      <c r="D391" s="52" t="str">
        <f t="shared" si="213"/>
        <v>ZDV BMO ETF</v>
      </c>
      <c r="E391" s="52">
        <f ca="1">E390</f>
        <v>29.67</v>
      </c>
      <c r="F391" s="52">
        <v>24.24</v>
      </c>
      <c r="G391" s="54">
        <f>G390</f>
        <v>33</v>
      </c>
      <c r="H391" s="52">
        <f t="shared" si="210"/>
        <v>799.92</v>
      </c>
      <c r="I391" s="52"/>
      <c r="J391" s="10">
        <f>H391-H390</f>
        <v>3.9599999999999227</v>
      </c>
      <c r="K391" s="7">
        <f>(H391/H390)-100%</f>
        <v>4.9751243781093191E-3</v>
      </c>
      <c r="L391" s="83"/>
      <c r="M391" s="11"/>
      <c r="N391" s="5" t="s">
        <v>249</v>
      </c>
      <c r="O391" s="5" t="s">
        <v>252</v>
      </c>
    </row>
    <row r="392" spans="1:15" x14ac:dyDescent="0.35">
      <c r="B392" s="135" t="s">
        <v>35</v>
      </c>
      <c r="C392" s="20" t="e" vm="11">
        <v>#VALUE!</v>
      </c>
      <c r="D392" s="20" t="e" vm="11">
        <v>#VALUE!</v>
      </c>
      <c r="E392" s="20" cm="1">
        <f t="array" aca="1" ref="E392" ca="1">_FV(D392,"Price")</f>
        <v>396.80220000000003</v>
      </c>
      <c r="F392" s="8">
        <v>312.3</v>
      </c>
      <c r="G392" s="21">
        <v>17</v>
      </c>
      <c r="H392" s="20">
        <f t="shared" si="210"/>
        <v>5309.1</v>
      </c>
      <c r="I392" s="20" t="s">
        <v>5</v>
      </c>
      <c r="J392" s="10"/>
      <c r="K392" s="7"/>
      <c r="L392" s="83"/>
      <c r="M392" s="11"/>
    </row>
    <row r="393" spans="1:15" x14ac:dyDescent="0.35">
      <c r="B393" s="136"/>
      <c r="C393" s="88" t="s">
        <v>37</v>
      </c>
      <c r="D393" s="88" t="str">
        <f>C393</f>
        <v>TSLA</v>
      </c>
      <c r="E393" s="88">
        <f ca="1">E392</f>
        <v>396.80220000000003</v>
      </c>
      <c r="F393" s="8">
        <v>319.86</v>
      </c>
      <c r="G393" s="89">
        <f>G392</f>
        <v>17</v>
      </c>
      <c r="H393" s="88">
        <f t="shared" si="210"/>
        <v>5437.62</v>
      </c>
      <c r="I393" s="88"/>
      <c r="J393" s="71">
        <f>H393-H392</f>
        <v>128.51999999999953</v>
      </c>
      <c r="K393" s="72">
        <f>(H393/H392)-100%</f>
        <v>2.420749279538903E-2</v>
      </c>
      <c r="L393" s="83"/>
      <c r="M393" s="11"/>
      <c r="N393" s="5" t="s">
        <v>253</v>
      </c>
      <c r="O393" s="5" t="s">
        <v>223</v>
      </c>
    </row>
    <row r="394" spans="1:15" x14ac:dyDescent="0.35">
      <c r="B394" s="148" t="s">
        <v>32</v>
      </c>
      <c r="C394" s="52" t="e" vm="11">
        <v>#VALUE!</v>
      </c>
      <c r="D394" s="52" t="e" vm="11">
        <v>#VALUE!</v>
      </c>
      <c r="E394" s="52" cm="1">
        <f t="array" aca="1" ref="E394" ca="1">_FV(D394,"Price")</f>
        <v>396.80220000000003</v>
      </c>
      <c r="F394" s="52">
        <v>303.89999999999998</v>
      </c>
      <c r="G394" s="54">
        <v>16</v>
      </c>
      <c r="H394" s="52">
        <f t="shared" si="210"/>
        <v>4862.3999999999996</v>
      </c>
      <c r="I394" s="52" t="s">
        <v>5</v>
      </c>
      <c r="J394" s="10"/>
      <c r="K394" s="7"/>
      <c r="L394" s="83"/>
      <c r="M394" s="11"/>
    </row>
    <row r="395" spans="1:15" x14ac:dyDescent="0.35">
      <c r="B395" s="149"/>
      <c r="C395" s="52" t="s">
        <v>37</v>
      </c>
      <c r="D395" s="52" t="str">
        <f t="shared" ref="D395:D401" si="214">C395</f>
        <v>TSLA</v>
      </c>
      <c r="E395" s="52">
        <f ca="1">E394</f>
        <v>396.80220000000003</v>
      </c>
      <c r="F395" s="52">
        <v>303.23</v>
      </c>
      <c r="G395" s="54">
        <f>G394</f>
        <v>16</v>
      </c>
      <c r="H395" s="52">
        <f t="shared" si="210"/>
        <v>4851.68</v>
      </c>
      <c r="I395" s="52"/>
      <c r="J395" s="10">
        <f>H395-H394</f>
        <v>-10.719999999999345</v>
      </c>
      <c r="K395" s="7">
        <f>(H395/H394)-100%</f>
        <v>-2.2046725896675001E-3</v>
      </c>
      <c r="L395" s="83"/>
      <c r="M395" s="11"/>
      <c r="N395" s="5" t="s">
        <v>253</v>
      </c>
      <c r="O395" s="5" t="s">
        <v>254</v>
      </c>
    </row>
    <row r="396" spans="1:15" x14ac:dyDescent="0.35">
      <c r="B396" s="143" t="s">
        <v>224</v>
      </c>
      <c r="C396" s="52" t="e" vm="42">
        <v>#VALUE!</v>
      </c>
      <c r="D396" s="52" t="e" vm="42">
        <f t="shared" si="214"/>
        <v>#VALUE!</v>
      </c>
      <c r="E396" s="52" cm="1">
        <f t="array" aca="1" ref="E396" ca="1">_FV(D396,"Price")</f>
        <v>29.67</v>
      </c>
      <c r="F396" s="52">
        <v>24.25</v>
      </c>
      <c r="G396" s="54">
        <v>76</v>
      </c>
      <c r="H396" s="52">
        <f t="shared" ref="H396:H401" si="215">F396*G396</f>
        <v>1843</v>
      </c>
      <c r="I396" s="52" t="s">
        <v>5</v>
      </c>
      <c r="J396" s="45"/>
      <c r="K396" s="46"/>
      <c r="L396" s="83"/>
      <c r="M396" s="123"/>
    </row>
    <row r="397" spans="1:15" x14ac:dyDescent="0.35">
      <c r="B397" s="203"/>
      <c r="C397" s="52" t="s">
        <v>251</v>
      </c>
      <c r="D397" s="52" t="str">
        <f t="shared" si="214"/>
        <v>ZDV BMO ETF</v>
      </c>
      <c r="E397" s="52">
        <f ca="1">E396</f>
        <v>29.67</v>
      </c>
      <c r="F397" s="52">
        <v>24.23</v>
      </c>
      <c r="G397" s="54">
        <f>G396</f>
        <v>76</v>
      </c>
      <c r="H397" s="52">
        <f t="shared" si="215"/>
        <v>1841.48</v>
      </c>
      <c r="I397" s="52"/>
      <c r="J397" s="10">
        <f>H397-H396</f>
        <v>-1.5199999999999818</v>
      </c>
      <c r="K397" s="7">
        <f>(H397/H396)-100%</f>
        <v>-8.2474226804118977E-4</v>
      </c>
      <c r="L397" s="83"/>
      <c r="M397" s="11"/>
      <c r="N397" s="5" t="s">
        <v>249</v>
      </c>
      <c r="O397" s="5" t="s">
        <v>252</v>
      </c>
    </row>
    <row r="398" spans="1:15" x14ac:dyDescent="0.35">
      <c r="B398" s="143" t="s">
        <v>250</v>
      </c>
      <c r="C398" s="52" t="e" vm="42">
        <v>#VALUE!</v>
      </c>
      <c r="D398" s="52" t="e" vm="42">
        <f t="shared" si="214"/>
        <v>#VALUE!</v>
      </c>
      <c r="E398" s="52" cm="1">
        <f t="array" aca="1" ref="E398" ca="1">_FV(D398,"Price")</f>
        <v>29.67</v>
      </c>
      <c r="F398" s="52">
        <v>24.28</v>
      </c>
      <c r="G398" s="54">
        <v>14</v>
      </c>
      <c r="H398" s="52">
        <f t="shared" si="215"/>
        <v>339.92</v>
      </c>
      <c r="I398" s="52" t="s">
        <v>5</v>
      </c>
      <c r="J398" s="45"/>
      <c r="K398" s="46"/>
      <c r="L398" s="83"/>
      <c r="M398" s="123"/>
    </row>
    <row r="399" spans="1:15" x14ac:dyDescent="0.35">
      <c r="B399" s="203"/>
      <c r="C399" s="52" t="s">
        <v>251</v>
      </c>
      <c r="D399" s="52" t="str">
        <f t="shared" si="214"/>
        <v>ZDV BMO ETF</v>
      </c>
      <c r="E399" s="52">
        <f ca="1">E398</f>
        <v>29.67</v>
      </c>
      <c r="F399" s="52">
        <v>24.24</v>
      </c>
      <c r="G399" s="54">
        <f>G398</f>
        <v>14</v>
      </c>
      <c r="H399" s="52">
        <f t="shared" si="215"/>
        <v>339.35999999999996</v>
      </c>
      <c r="I399" s="52"/>
      <c r="J399" s="10">
        <f>H399-H398</f>
        <v>-0.56000000000005912</v>
      </c>
      <c r="K399" s="7">
        <f>(H399/H398)-100%</f>
        <v>-1.6474464579903092E-3</v>
      </c>
      <c r="L399" s="83"/>
      <c r="M399" s="11"/>
      <c r="N399" s="5" t="s">
        <v>255</v>
      </c>
      <c r="O399" s="5" t="s">
        <v>252</v>
      </c>
    </row>
    <row r="400" spans="1:15" x14ac:dyDescent="0.35">
      <c r="B400" s="143" t="s">
        <v>256</v>
      </c>
      <c r="C400" s="52" t="e" vm="29">
        <v>#VALUE!</v>
      </c>
      <c r="D400" s="52" t="e" vm="29">
        <f t="shared" si="214"/>
        <v>#VALUE!</v>
      </c>
      <c r="E400" s="52" cm="1">
        <f t="array" aca="1" ref="E400" ca="1">_FV(D400,"Price")</f>
        <v>178.07</v>
      </c>
      <c r="F400" s="52">
        <v>171.28</v>
      </c>
      <c r="G400" s="52">
        <v>6.5973800000000002</v>
      </c>
      <c r="H400" s="52">
        <f t="shared" si="215"/>
        <v>1129.9992463999999</v>
      </c>
      <c r="I400" s="52" t="s">
        <v>5</v>
      </c>
      <c r="J400" s="45"/>
      <c r="K400" s="46"/>
      <c r="L400" s="83"/>
      <c r="M400" s="123"/>
    </row>
    <row r="401" spans="1:16" x14ac:dyDescent="0.35">
      <c r="B401" s="143"/>
      <c r="C401" s="52" t="s">
        <v>121</v>
      </c>
      <c r="D401" s="52" t="str">
        <f t="shared" si="214"/>
        <v>SHOPIFY</v>
      </c>
      <c r="E401" s="52">
        <f ca="1">E400</f>
        <v>178.07</v>
      </c>
      <c r="F401" s="52">
        <v>213.98</v>
      </c>
      <c r="G401" s="52">
        <f>G400</f>
        <v>6.5973800000000002</v>
      </c>
      <c r="H401" s="52">
        <f t="shared" si="215"/>
        <v>1411.7073723999999</v>
      </c>
      <c r="I401" s="52"/>
      <c r="J401" s="10">
        <f>H401-H400</f>
        <v>281.70812599999999</v>
      </c>
      <c r="K401" s="7">
        <f>(H401/H400)-100%</f>
        <v>0.24929939280709945</v>
      </c>
      <c r="L401" s="83"/>
      <c r="M401" s="11"/>
      <c r="N401" s="5" t="s">
        <v>257</v>
      </c>
      <c r="O401" s="5" t="s">
        <v>258</v>
      </c>
    </row>
    <row r="402" spans="1:16" x14ac:dyDescent="0.35">
      <c r="B402" s="143" t="s">
        <v>259</v>
      </c>
      <c r="C402" s="52" t="e" vm="29">
        <v>#VALUE!</v>
      </c>
      <c r="D402" s="52" t="e" vm="29">
        <f t="shared" ref="D402:D403" si="216">C402</f>
        <v>#VALUE!</v>
      </c>
      <c r="E402" s="52" cm="1">
        <f t="array" aca="1" ref="E402" ca="1">_FV(D402,"Price")</f>
        <v>178.07</v>
      </c>
      <c r="F402" s="52">
        <v>170.92</v>
      </c>
      <c r="G402" s="52">
        <v>10.706759999999999</v>
      </c>
      <c r="H402" s="52">
        <f t="shared" ref="H402:H405" si="217">F402*G402</f>
        <v>1829.9994191999997</v>
      </c>
      <c r="I402" s="52" t="s">
        <v>5</v>
      </c>
      <c r="J402" s="45"/>
      <c r="K402" s="46"/>
      <c r="L402" s="83"/>
      <c r="M402" s="123"/>
    </row>
    <row r="403" spans="1:16" x14ac:dyDescent="0.35">
      <c r="B403" s="143"/>
      <c r="C403" s="52" t="s">
        <v>121</v>
      </c>
      <c r="D403" s="52" t="str">
        <f t="shared" si="216"/>
        <v>SHOPIFY</v>
      </c>
      <c r="E403" s="52">
        <f ca="1">E402</f>
        <v>178.07</v>
      </c>
      <c r="F403" s="52">
        <v>214.47</v>
      </c>
      <c r="G403" s="52">
        <f>G402</f>
        <v>10.706759999999999</v>
      </c>
      <c r="H403" s="52">
        <f t="shared" si="217"/>
        <v>2296.2788171999996</v>
      </c>
      <c r="I403" s="52"/>
      <c r="J403" s="10">
        <f>H403-H402</f>
        <v>466.2793979999999</v>
      </c>
      <c r="K403" s="7">
        <f>(H403/H402)-100%</f>
        <v>0.25479756611280124</v>
      </c>
      <c r="L403" s="83"/>
      <c r="M403" s="11"/>
      <c r="N403" s="5" t="s">
        <v>257</v>
      </c>
      <c r="O403" s="5" t="s">
        <v>258</v>
      </c>
    </row>
    <row r="404" spans="1:16" x14ac:dyDescent="0.35">
      <c r="B404" s="148" t="s">
        <v>32</v>
      </c>
      <c r="C404" s="52" t="e" vm="11">
        <v>#VALUE!</v>
      </c>
      <c r="D404" s="52" t="e" vm="11">
        <v>#VALUE!</v>
      </c>
      <c r="E404" s="52" cm="1">
        <f t="array" aca="1" ref="E404" ca="1">_FV(D404,"Price")</f>
        <v>396.80220000000003</v>
      </c>
      <c r="F404" s="52">
        <v>308.06</v>
      </c>
      <c r="G404" s="54">
        <v>16</v>
      </c>
      <c r="H404" s="52">
        <f t="shared" si="217"/>
        <v>4928.96</v>
      </c>
      <c r="I404" s="52" t="s">
        <v>5</v>
      </c>
      <c r="J404" s="10"/>
      <c r="K404" s="7"/>
      <c r="L404" s="83"/>
      <c r="M404" s="11"/>
    </row>
    <row r="405" spans="1:16" x14ac:dyDescent="0.35">
      <c r="B405" s="149"/>
      <c r="C405" s="52" t="s">
        <v>37</v>
      </c>
      <c r="D405" s="52" t="str">
        <f t="shared" ref="D405:D407" si="218">C405</f>
        <v>TSLA</v>
      </c>
      <c r="E405" s="52">
        <f ca="1">E404</f>
        <v>396.80220000000003</v>
      </c>
      <c r="F405" s="52">
        <v>309.37</v>
      </c>
      <c r="G405" s="54">
        <f>G404</f>
        <v>16</v>
      </c>
      <c r="H405" s="52">
        <f t="shared" si="217"/>
        <v>4949.92</v>
      </c>
      <c r="I405" s="52"/>
      <c r="J405" s="10">
        <f>H405-H404</f>
        <v>20.960000000000036</v>
      </c>
      <c r="K405" s="7">
        <f>(H405/H404)-100%</f>
        <v>4.2524183600596288E-3</v>
      </c>
      <c r="L405" s="83"/>
      <c r="M405" s="11"/>
      <c r="N405" s="5" t="s">
        <v>260</v>
      </c>
      <c r="O405" s="5" t="s">
        <v>261</v>
      </c>
    </row>
    <row r="406" spans="1:16" x14ac:dyDescent="0.35">
      <c r="B406" s="143" t="s">
        <v>256</v>
      </c>
      <c r="C406" s="52" t="e" vm="29">
        <v>#VALUE!</v>
      </c>
      <c r="D406" s="52" t="e" vm="29">
        <f t="shared" si="218"/>
        <v>#VALUE!</v>
      </c>
      <c r="E406" s="52" cm="1">
        <f t="array" aca="1" ref="E406" ca="1">_FV(D406,"Price")</f>
        <v>178.07</v>
      </c>
      <c r="F406" s="52">
        <v>163.69</v>
      </c>
      <c r="G406" s="52">
        <v>18</v>
      </c>
      <c r="H406" s="52">
        <f t="shared" ref="H406:H409" si="219">F406*G406</f>
        <v>2946.42</v>
      </c>
      <c r="I406" s="52" t="s">
        <v>5</v>
      </c>
      <c r="J406" s="45"/>
      <c r="K406" s="46"/>
      <c r="L406" s="83"/>
      <c r="M406" s="123"/>
    </row>
    <row r="407" spans="1:16" x14ac:dyDescent="0.35">
      <c r="B407" s="143"/>
      <c r="C407" s="52" t="s">
        <v>121</v>
      </c>
      <c r="D407" s="52" t="str">
        <f t="shared" si="218"/>
        <v>SHOPIFY</v>
      </c>
      <c r="E407" s="52">
        <f ca="1">E406</f>
        <v>178.07</v>
      </c>
      <c r="F407" s="52">
        <v>213.98</v>
      </c>
      <c r="G407" s="52">
        <f>G406</f>
        <v>18</v>
      </c>
      <c r="H407" s="52">
        <f t="shared" si="219"/>
        <v>3851.64</v>
      </c>
      <c r="I407" s="52"/>
      <c r="J407" s="10">
        <f>H407-H406</f>
        <v>905.2199999999998</v>
      </c>
      <c r="K407" s="7">
        <f>(H407/H406)-100%</f>
        <v>0.30722707556967421</v>
      </c>
      <c r="L407" s="83"/>
      <c r="M407" s="11"/>
      <c r="N407" s="5" t="s">
        <v>262</v>
      </c>
      <c r="O407" s="5" t="s">
        <v>258</v>
      </c>
    </row>
    <row r="408" spans="1:16" x14ac:dyDescent="0.35">
      <c r="B408" s="181" t="s">
        <v>89</v>
      </c>
      <c r="C408" s="52" t="e" vm="22">
        <v>#VALUE!</v>
      </c>
      <c r="D408" s="52" t="e" vm="22">
        <f>C408</f>
        <v>#VALUE!</v>
      </c>
      <c r="E408" s="52" cm="1">
        <f t="array" aca="1" ref="E408" ca="1">_FV(D408,"Price")</f>
        <v>409.05500000000001</v>
      </c>
      <c r="F408" s="52">
        <v>519.35</v>
      </c>
      <c r="G408" s="54">
        <v>14</v>
      </c>
      <c r="H408" s="52">
        <f t="shared" si="219"/>
        <v>7270.9000000000005</v>
      </c>
      <c r="I408" s="52" t="s">
        <v>5</v>
      </c>
      <c r="J408" s="10"/>
      <c r="K408" s="7"/>
      <c r="L408" s="83"/>
      <c r="M408" s="11"/>
    </row>
    <row r="409" spans="1:16" x14ac:dyDescent="0.35">
      <c r="B409" s="181"/>
      <c r="C409" s="78" t="s">
        <v>69</v>
      </c>
      <c r="D409" s="52" t="str">
        <f t="shared" ref="D409" si="220">C409</f>
        <v>MSFT</v>
      </c>
      <c r="E409" s="52">
        <f ca="1">E408</f>
        <v>409.05500000000001</v>
      </c>
      <c r="F409" s="52">
        <v>514.75</v>
      </c>
      <c r="G409" s="54">
        <f>G408</f>
        <v>14</v>
      </c>
      <c r="H409" s="52">
        <f t="shared" si="219"/>
        <v>7206.5</v>
      </c>
      <c r="I409" s="52"/>
      <c r="J409" s="10">
        <f>H409-H408</f>
        <v>-64.400000000000546</v>
      </c>
      <c r="K409" s="7">
        <f>(H409/H408)-100%</f>
        <v>-8.8572253778762544E-3</v>
      </c>
      <c r="L409" s="83"/>
      <c r="M409" s="11"/>
      <c r="N409" s="5" t="s">
        <v>264</v>
      </c>
      <c r="O409" s="5" t="s">
        <v>300</v>
      </c>
      <c r="P409" s="5" t="s">
        <v>301</v>
      </c>
    </row>
    <row r="410" spans="1:16" x14ac:dyDescent="0.35">
      <c r="A410" s="5">
        <v>1</v>
      </c>
      <c r="B410" s="174" t="s">
        <v>89</v>
      </c>
      <c r="C410" s="13" t="e" vm="22">
        <v>#VALUE!</v>
      </c>
      <c r="D410" s="13" t="e" vm="22">
        <f>C410</f>
        <v>#VALUE!</v>
      </c>
      <c r="E410" s="13" cm="1">
        <f t="array" aca="1" ref="E410" ca="1">_FV(D410,"Price")</f>
        <v>409.05500000000001</v>
      </c>
      <c r="F410" s="8">
        <v>519.35</v>
      </c>
      <c r="G410" s="9">
        <v>5</v>
      </c>
      <c r="H410" s="8">
        <f t="shared" ref="H410:H411" si="221">F410*G410</f>
        <v>2596.75</v>
      </c>
      <c r="I410" s="13" t="s">
        <v>5</v>
      </c>
      <c r="J410" s="10"/>
      <c r="K410" s="7"/>
      <c r="L410" s="83"/>
      <c r="M410" s="11"/>
      <c r="N410" s="18"/>
    </row>
    <row r="411" spans="1:16" x14ac:dyDescent="0.35">
      <c r="A411" s="5">
        <v>1</v>
      </c>
      <c r="B411" s="174"/>
      <c r="C411" s="15" t="s">
        <v>69</v>
      </c>
      <c r="D411" s="13" t="str">
        <f t="shared" ref="D411" si="222">C411</f>
        <v>MSFT</v>
      </c>
      <c r="E411" s="13">
        <f ca="1">E410</f>
        <v>409.05500000000001</v>
      </c>
      <c r="F411" s="8">
        <f ca="1">E411</f>
        <v>409.05500000000001</v>
      </c>
      <c r="G411" s="9">
        <f>G410</f>
        <v>5</v>
      </c>
      <c r="H411" s="8">
        <f t="shared" ca="1" si="221"/>
        <v>2045.2750000000001</v>
      </c>
      <c r="I411" s="13"/>
      <c r="J411" s="10">
        <f ca="1">H411-H410</f>
        <v>-551.47499999999991</v>
      </c>
      <c r="K411" s="7">
        <f ca="1">(H411/H410)-100%</f>
        <v>-0.21237123327235963</v>
      </c>
      <c r="L411" s="83">
        <v>45876</v>
      </c>
      <c r="M411" s="11"/>
      <c r="N411" s="18" t="s">
        <v>263</v>
      </c>
      <c r="O411" s="5" t="s">
        <v>264</v>
      </c>
      <c r="P411" s="5" t="s">
        <v>301</v>
      </c>
    </row>
    <row r="412" spans="1:16" x14ac:dyDescent="0.35">
      <c r="A412" s="5">
        <v>1</v>
      </c>
      <c r="B412" s="148" t="s">
        <v>383</v>
      </c>
      <c r="C412" s="16" t="e" vm="22">
        <v>#VALUE!</v>
      </c>
      <c r="D412" s="16" t="e" vm="22">
        <f>C412</f>
        <v>#VALUE!</v>
      </c>
      <c r="E412" s="16" cm="1">
        <f t="array" aca="1" ref="E412" ca="1">_FV(D412,"Price")</f>
        <v>409.05500000000001</v>
      </c>
      <c r="F412" s="8">
        <v>520.66</v>
      </c>
      <c r="G412" s="9">
        <v>6</v>
      </c>
      <c r="H412" s="8">
        <f t="shared" ref="H412:H415" si="223">F412*G412</f>
        <v>3123.96</v>
      </c>
      <c r="I412" s="13" t="s">
        <v>5</v>
      </c>
      <c r="J412" s="10"/>
      <c r="K412" s="7"/>
      <c r="L412" s="83"/>
      <c r="M412" s="11"/>
    </row>
    <row r="413" spans="1:16" x14ac:dyDescent="0.35">
      <c r="A413" s="5">
        <v>1</v>
      </c>
      <c r="B413" s="149"/>
      <c r="C413" s="23" t="s">
        <v>69</v>
      </c>
      <c r="D413" s="16" t="str">
        <f t="shared" ref="D413" si="224">C413</f>
        <v>MSFT</v>
      </c>
      <c r="E413" s="16">
        <f ca="1">E412</f>
        <v>409.05500000000001</v>
      </c>
      <c r="F413" s="8">
        <f ca="1">E413</f>
        <v>409.05500000000001</v>
      </c>
      <c r="G413" s="9">
        <f>G412</f>
        <v>6</v>
      </c>
      <c r="H413" s="8">
        <f t="shared" ca="1" si="223"/>
        <v>2454.33</v>
      </c>
      <c r="I413" s="13"/>
      <c r="J413" s="10">
        <f ca="1">H413-H412</f>
        <v>-669.63000000000011</v>
      </c>
      <c r="K413" s="7">
        <f ca="1">(H413/H412)-100%</f>
        <v>-0.21435293665731958</v>
      </c>
      <c r="L413" s="83">
        <v>45880</v>
      </c>
      <c r="M413" s="11"/>
      <c r="N413" s="18" t="s">
        <v>8</v>
      </c>
      <c r="O413" s="5" t="s">
        <v>265</v>
      </c>
    </row>
    <row r="414" spans="1:16" x14ac:dyDescent="0.35">
      <c r="B414" s="148" t="s">
        <v>44</v>
      </c>
      <c r="C414" s="63" t="e" vm="25">
        <v>#VALUE!</v>
      </c>
      <c r="D414" s="63" t="e" vm="25">
        <f>C414</f>
        <v>#VALUE!</v>
      </c>
      <c r="E414" s="63" cm="1">
        <f t="array" aca="1" ref="E414" ca="1">_FV(D414,"Price")</f>
        <v>177.64</v>
      </c>
      <c r="F414" s="63">
        <v>180.38</v>
      </c>
      <c r="G414" s="64">
        <v>17</v>
      </c>
      <c r="H414" s="63">
        <f t="shared" si="223"/>
        <v>3066.46</v>
      </c>
      <c r="I414" s="63" t="s">
        <v>5</v>
      </c>
      <c r="J414" s="10"/>
      <c r="K414" s="7"/>
      <c r="L414" s="83"/>
      <c r="M414" s="11"/>
    </row>
    <row r="415" spans="1:16" x14ac:dyDescent="0.35">
      <c r="B415" s="149"/>
      <c r="C415" s="63" t="s">
        <v>101</v>
      </c>
      <c r="D415" s="63" t="str">
        <f t="shared" ref="D415" si="225">C415</f>
        <v>NVDA</v>
      </c>
      <c r="E415" s="63">
        <f ca="1">E414</f>
        <v>177.64</v>
      </c>
      <c r="F415" s="63">
        <v>176.78</v>
      </c>
      <c r="G415" s="64">
        <f>G414</f>
        <v>17</v>
      </c>
      <c r="H415" s="63">
        <f t="shared" si="223"/>
        <v>3005.26</v>
      </c>
      <c r="I415" s="63"/>
      <c r="J415" s="10">
        <f>H415-H414</f>
        <v>-61.199999999999818</v>
      </c>
      <c r="K415" s="7">
        <f>(H415/H414)-100%</f>
        <v>-1.9957866725801021E-2</v>
      </c>
      <c r="L415" s="83"/>
      <c r="M415" s="11"/>
      <c r="N415" s="5" t="s">
        <v>266</v>
      </c>
      <c r="O415" s="5" t="s">
        <v>289</v>
      </c>
    </row>
    <row r="416" spans="1:16" x14ac:dyDescent="0.35">
      <c r="A416" s="5">
        <v>1</v>
      </c>
      <c r="B416" s="146" t="s">
        <v>381</v>
      </c>
      <c r="C416" s="13" t="e" vm="22">
        <v>#VALUE!</v>
      </c>
      <c r="D416" s="13" t="e" vm="22">
        <f>C416</f>
        <v>#VALUE!</v>
      </c>
      <c r="E416" s="13" cm="1">
        <f t="array" aca="1" ref="E416" ca="1">_FV(D416,"Price")</f>
        <v>409.05500000000001</v>
      </c>
      <c r="F416" s="13">
        <v>508.97</v>
      </c>
      <c r="G416" s="92">
        <v>5.9</v>
      </c>
      <c r="H416" s="13">
        <f t="shared" ref="H416:H423" si="226">F416*G416</f>
        <v>3002.9230000000002</v>
      </c>
      <c r="I416" s="13" t="s">
        <v>5</v>
      </c>
      <c r="J416" s="10"/>
      <c r="K416" s="7"/>
      <c r="L416" s="83"/>
      <c r="M416" s="11"/>
    </row>
    <row r="417" spans="1:15" x14ac:dyDescent="0.35">
      <c r="A417" s="5">
        <v>1</v>
      </c>
      <c r="B417" s="147"/>
      <c r="C417" s="15" t="s">
        <v>69</v>
      </c>
      <c r="D417" s="13" t="str">
        <f t="shared" ref="D417" si="227">C417</f>
        <v>MSFT</v>
      </c>
      <c r="E417" s="13">
        <f ca="1">E416</f>
        <v>409.05500000000001</v>
      </c>
      <c r="F417" s="13">
        <f ca="1">E417</f>
        <v>409.05500000000001</v>
      </c>
      <c r="G417" s="92">
        <f>G416</f>
        <v>5.9</v>
      </c>
      <c r="H417" s="13">
        <f t="shared" ca="1" si="226"/>
        <v>2413.4245000000001</v>
      </c>
      <c r="I417" s="13"/>
      <c r="J417" s="10">
        <f ca="1">H417-H416</f>
        <v>-589.49850000000015</v>
      </c>
      <c r="K417" s="7">
        <f ca="1">(H417/H416)-100%</f>
        <v>-0.19630823034756473</v>
      </c>
      <c r="L417" s="83">
        <v>45888</v>
      </c>
      <c r="M417" s="11"/>
      <c r="N417" s="5" t="s">
        <v>267</v>
      </c>
    </row>
    <row r="418" spans="1:15" x14ac:dyDescent="0.35">
      <c r="B418" s="154" t="s">
        <v>317</v>
      </c>
      <c r="C418" s="47" t="e" vm="33">
        <v>#VALUE!</v>
      </c>
      <c r="D418" s="53" t="e" vm="33">
        <f>C418</f>
        <v>#VALUE!</v>
      </c>
      <c r="E418" s="52" cm="1">
        <f t="array" aca="1" ref="E418" ca="1">_FV(D418,"Price")</f>
        <v>43.96</v>
      </c>
      <c r="F418" s="52">
        <v>25.93</v>
      </c>
      <c r="G418" s="54">
        <v>55</v>
      </c>
      <c r="H418" s="52">
        <f t="shared" si="226"/>
        <v>1426.15</v>
      </c>
      <c r="I418" s="52" t="s">
        <v>5</v>
      </c>
      <c r="J418" s="10"/>
      <c r="K418" s="7"/>
      <c r="L418" s="83"/>
      <c r="M418" s="11"/>
    </row>
    <row r="419" spans="1:15" x14ac:dyDescent="0.35">
      <c r="B419" s="154"/>
      <c r="C419" s="78" t="s">
        <v>153</v>
      </c>
      <c r="D419" s="53" t="str">
        <f t="shared" ref="D419" si="228">C419</f>
        <v>K.TO</v>
      </c>
      <c r="E419" s="52">
        <f ca="1">E418</f>
        <v>43.96</v>
      </c>
      <c r="F419" s="52">
        <f ca="1">E419</f>
        <v>43.96</v>
      </c>
      <c r="G419" s="54">
        <f>G418</f>
        <v>55</v>
      </c>
      <c r="H419" s="52">
        <f t="shared" ca="1" si="226"/>
        <v>2417.8000000000002</v>
      </c>
      <c r="I419" s="52"/>
      <c r="J419" s="10">
        <f ca="1">H419-H418</f>
        <v>991.65000000000009</v>
      </c>
      <c r="K419" s="7">
        <f ca="1">(H419/H418)-100%</f>
        <v>0.69533359043578868</v>
      </c>
      <c r="L419" s="83"/>
      <c r="M419" s="11"/>
      <c r="N419" s="5" t="s">
        <v>267</v>
      </c>
      <c r="O419" s="5" t="s">
        <v>320</v>
      </c>
    </row>
    <row r="420" spans="1:15" x14ac:dyDescent="0.35">
      <c r="A420" s="5">
        <v>1</v>
      </c>
      <c r="B420" s="148" t="s">
        <v>384</v>
      </c>
      <c r="C420" s="13" t="e" vm="43">
        <v>#VALUE!</v>
      </c>
      <c r="D420" s="13" t="e" vm="43">
        <f>C420</f>
        <v>#VALUE!</v>
      </c>
      <c r="E420" s="13" cm="1">
        <f t="array" aca="1" ref="E420" ca="1">_FV(D420,"Price")</f>
        <v>3.9750000000000001</v>
      </c>
      <c r="F420" s="13">
        <v>5.03</v>
      </c>
      <c r="G420" s="14">
        <v>172</v>
      </c>
      <c r="H420" s="13">
        <f t="shared" si="226"/>
        <v>865.16000000000008</v>
      </c>
      <c r="I420" s="13" t="s">
        <v>5</v>
      </c>
      <c r="J420" s="10"/>
      <c r="K420" s="7"/>
      <c r="L420" s="83"/>
      <c r="M420" s="11"/>
    </row>
    <row r="421" spans="1:15" x14ac:dyDescent="0.35">
      <c r="A421" s="5">
        <v>1</v>
      </c>
      <c r="B421" s="149"/>
      <c r="C421" s="13" t="s">
        <v>268</v>
      </c>
      <c r="D421" s="13" t="str">
        <f t="shared" ref="D421" si="229">C421</f>
        <v>GRAB</v>
      </c>
      <c r="E421" s="13">
        <f ca="1">E420</f>
        <v>3.9750000000000001</v>
      </c>
      <c r="F421" s="13">
        <f ca="1">E421</f>
        <v>3.9750000000000001</v>
      </c>
      <c r="G421" s="14">
        <f>G420</f>
        <v>172</v>
      </c>
      <c r="H421" s="13">
        <f t="shared" ca="1" si="226"/>
        <v>683.7</v>
      </c>
      <c r="I421" s="13"/>
      <c r="J421" s="10">
        <f ca="1">H421-H420</f>
        <v>-181.46000000000004</v>
      </c>
      <c r="K421" s="7">
        <f ca="1">(H421/H420)-100%</f>
        <v>-0.20974155069582512</v>
      </c>
      <c r="L421" s="83">
        <v>45890</v>
      </c>
      <c r="M421" s="11"/>
      <c r="N421" s="5" t="s">
        <v>269</v>
      </c>
    </row>
    <row r="422" spans="1:15" x14ac:dyDescent="0.35">
      <c r="B422" s="135" t="s">
        <v>35</v>
      </c>
      <c r="C422" s="63" t="e" vm="25">
        <v>#VALUE!</v>
      </c>
      <c r="D422" s="63" t="e" vm="25">
        <f>C422</f>
        <v>#VALUE!</v>
      </c>
      <c r="E422" s="63" cm="1">
        <f t="array" aca="1" ref="E422" ca="1">_FV(D422,"Price")</f>
        <v>177.64</v>
      </c>
      <c r="F422" s="63">
        <v>175.81</v>
      </c>
      <c r="G422" s="64">
        <v>55</v>
      </c>
      <c r="H422" s="63">
        <f t="shared" si="226"/>
        <v>9669.5499999999993</v>
      </c>
      <c r="I422" s="63" t="s">
        <v>5</v>
      </c>
      <c r="J422" s="10"/>
      <c r="K422" s="7"/>
      <c r="L422" s="83"/>
      <c r="M422" s="11"/>
    </row>
    <row r="423" spans="1:15" x14ac:dyDescent="0.35">
      <c r="B423" s="136"/>
      <c r="C423" s="63" t="s">
        <v>101</v>
      </c>
      <c r="D423" s="63" t="str">
        <f t="shared" ref="D423" si="230">C423</f>
        <v>NVDA</v>
      </c>
      <c r="E423" s="63">
        <f ca="1">E422</f>
        <v>177.64</v>
      </c>
      <c r="F423" s="63">
        <v>175.98</v>
      </c>
      <c r="G423" s="64">
        <f>G422</f>
        <v>55</v>
      </c>
      <c r="H423" s="63">
        <f t="shared" si="226"/>
        <v>9678.9</v>
      </c>
      <c r="I423" s="63"/>
      <c r="J423" s="10">
        <f>H423-H422</f>
        <v>9.3500000000003638</v>
      </c>
      <c r="K423" s="7">
        <f>(H423/H422)-100%</f>
        <v>9.6695296058246782E-4</v>
      </c>
      <c r="L423" s="83"/>
      <c r="M423" s="11"/>
      <c r="N423" s="5" t="s">
        <v>270</v>
      </c>
      <c r="O423" s="5" t="s">
        <v>289</v>
      </c>
    </row>
    <row r="424" spans="1:15" x14ac:dyDescent="0.35">
      <c r="B424" s="201" t="s">
        <v>35</v>
      </c>
      <c r="C424" s="95" t="e" vm="25">
        <v>#VALUE!</v>
      </c>
      <c r="D424" s="95" t="e" vm="25">
        <f>C424</f>
        <v>#VALUE!</v>
      </c>
      <c r="E424" s="95" cm="1">
        <f t="array" aca="1" ref="E424" ca="1">_FV(D424,"Price")</f>
        <v>177.64</v>
      </c>
      <c r="F424" s="95">
        <v>170.5</v>
      </c>
      <c r="G424" s="96">
        <v>158</v>
      </c>
      <c r="H424" s="95">
        <f t="shared" ref="H424:H429" si="231">F424*G424</f>
        <v>26939</v>
      </c>
      <c r="I424" s="95" t="s">
        <v>5</v>
      </c>
      <c r="J424" s="45"/>
      <c r="K424" s="46"/>
      <c r="L424" s="83"/>
      <c r="M424" s="123"/>
    </row>
    <row r="425" spans="1:15" x14ac:dyDescent="0.35">
      <c r="B425" s="202"/>
      <c r="C425" s="95" t="s">
        <v>101</v>
      </c>
      <c r="D425" s="95" t="str">
        <f t="shared" ref="D425" si="232">C425</f>
        <v>NVDA</v>
      </c>
      <c r="E425" s="95">
        <f ca="1">E424</f>
        <v>177.64</v>
      </c>
      <c r="F425" s="95">
        <v>171.12</v>
      </c>
      <c r="G425" s="96">
        <f>G424</f>
        <v>158</v>
      </c>
      <c r="H425" s="95">
        <f t="shared" si="231"/>
        <v>27036.959999999999</v>
      </c>
      <c r="I425" s="95"/>
      <c r="J425" s="45">
        <f>H425-H424</f>
        <v>97.959999999999127</v>
      </c>
      <c r="K425" s="46">
        <f>(H425/H424)-100%</f>
        <v>3.6363636363636598E-3</v>
      </c>
      <c r="L425" s="83"/>
      <c r="M425" s="123"/>
      <c r="N425" s="5" t="s">
        <v>271</v>
      </c>
      <c r="O425" s="5" t="s">
        <v>272</v>
      </c>
    </row>
    <row r="426" spans="1:15" x14ac:dyDescent="0.35">
      <c r="B426" s="201" t="s">
        <v>35</v>
      </c>
      <c r="C426" s="95" t="e" vm="25">
        <v>#VALUE!</v>
      </c>
      <c r="D426" s="95" t="e" vm="25">
        <f>C426</f>
        <v>#VALUE!</v>
      </c>
      <c r="E426" s="95" cm="1">
        <f t="array" aca="1" ref="E426" ca="1">_FV(D426,"Price")</f>
        <v>177.64</v>
      </c>
      <c r="F426" s="95">
        <v>166.77</v>
      </c>
      <c r="G426" s="96">
        <v>101</v>
      </c>
      <c r="H426" s="95">
        <f t="shared" si="231"/>
        <v>16843.77</v>
      </c>
      <c r="I426" s="95" t="s">
        <v>5</v>
      </c>
      <c r="J426" s="45"/>
      <c r="K426" s="46"/>
      <c r="L426" s="83"/>
      <c r="M426" s="123"/>
    </row>
    <row r="427" spans="1:15" x14ac:dyDescent="0.35">
      <c r="B427" s="202"/>
      <c r="C427" s="95" t="s">
        <v>101</v>
      </c>
      <c r="D427" s="95" t="str">
        <f t="shared" ref="D427" si="233">C427</f>
        <v>NVDA</v>
      </c>
      <c r="E427" s="95">
        <f ca="1">E426</f>
        <v>177.64</v>
      </c>
      <c r="F427" s="95">
        <v>166.63</v>
      </c>
      <c r="G427" s="96">
        <f>G426</f>
        <v>101</v>
      </c>
      <c r="H427" s="95">
        <f t="shared" si="231"/>
        <v>16829.63</v>
      </c>
      <c r="I427" s="95"/>
      <c r="J427" s="45">
        <f>H427-H426</f>
        <v>-14.139999999999418</v>
      </c>
      <c r="K427" s="46">
        <f>(H427/H426)-100%</f>
        <v>-8.3947952269591841E-4</v>
      </c>
      <c r="L427" s="83"/>
      <c r="M427" s="123"/>
      <c r="N427" s="5" t="s">
        <v>273</v>
      </c>
      <c r="O427" s="5" t="s">
        <v>275</v>
      </c>
    </row>
    <row r="428" spans="1:15" x14ac:dyDescent="0.35">
      <c r="A428" s="5">
        <v>1</v>
      </c>
      <c r="B428" s="135" t="s">
        <v>386</v>
      </c>
      <c r="C428" s="16" t="e" vm="22">
        <v>#VALUE!</v>
      </c>
      <c r="D428" s="16" t="e" vm="22">
        <f>C428</f>
        <v>#VALUE!</v>
      </c>
      <c r="E428" s="16" cm="1">
        <f t="array" aca="1" ref="E428" ca="1">_FV(D428,"Price")</f>
        <v>409.05500000000001</v>
      </c>
      <c r="F428" s="16">
        <v>498.54</v>
      </c>
      <c r="G428" s="17">
        <v>10</v>
      </c>
      <c r="H428" s="16">
        <f t="shared" si="231"/>
        <v>4985.4000000000005</v>
      </c>
      <c r="I428" s="13" t="s">
        <v>5</v>
      </c>
      <c r="J428" s="10"/>
      <c r="K428" s="7"/>
      <c r="L428" s="83"/>
      <c r="M428" s="11"/>
    </row>
    <row r="429" spans="1:15" x14ac:dyDescent="0.35">
      <c r="A429" s="5">
        <v>1</v>
      </c>
      <c r="B429" s="136"/>
      <c r="C429" s="23" t="s">
        <v>69</v>
      </c>
      <c r="D429" s="16" t="str">
        <f t="shared" ref="D429" si="234">C429</f>
        <v>MSFT</v>
      </c>
      <c r="E429" s="16">
        <f ca="1">E428</f>
        <v>409.05500000000001</v>
      </c>
      <c r="F429" s="16">
        <f ca="1">E429</f>
        <v>409.05500000000001</v>
      </c>
      <c r="G429" s="17">
        <f>G428</f>
        <v>10</v>
      </c>
      <c r="H429" s="16">
        <f t="shared" ca="1" si="231"/>
        <v>4090.55</v>
      </c>
      <c r="I429" s="13"/>
      <c r="J429" s="10">
        <f ca="1">H429-H428</f>
        <v>-894.85000000000036</v>
      </c>
      <c r="K429" s="7">
        <f ca="1">(H429/H428)-100%</f>
        <v>-0.17949412283868904</v>
      </c>
      <c r="L429" s="83">
        <v>45905</v>
      </c>
      <c r="M429" s="11"/>
      <c r="N429" s="5" t="s">
        <v>274</v>
      </c>
    </row>
    <row r="430" spans="1:15" x14ac:dyDescent="0.35">
      <c r="B430" s="135" t="s">
        <v>35</v>
      </c>
      <c r="C430" s="63" t="e" vm="25">
        <v>#VALUE!</v>
      </c>
      <c r="D430" s="63" t="e" vm="25">
        <f>C430</f>
        <v>#VALUE!</v>
      </c>
      <c r="E430" s="63" cm="1">
        <f t="array" aca="1" ref="E430" ca="1">_FV(D430,"Price")</f>
        <v>177.64</v>
      </c>
      <c r="F430" s="63">
        <v>167.15</v>
      </c>
      <c r="G430" s="64">
        <v>30</v>
      </c>
      <c r="H430" s="63">
        <f t="shared" ref="H430:H431" si="235">F430*G430</f>
        <v>5014.5</v>
      </c>
      <c r="I430" s="63" t="s">
        <v>5</v>
      </c>
      <c r="J430" s="10"/>
      <c r="K430" s="7"/>
      <c r="L430" s="83"/>
      <c r="M430" s="11"/>
    </row>
    <row r="431" spans="1:15" x14ac:dyDescent="0.35">
      <c r="B431" s="136"/>
      <c r="C431" s="63" t="s">
        <v>101</v>
      </c>
      <c r="D431" s="63" t="str">
        <f t="shared" ref="D431" si="236">C431</f>
        <v>NVDA</v>
      </c>
      <c r="E431" s="63">
        <f ca="1">E430</f>
        <v>177.64</v>
      </c>
      <c r="F431" s="63">
        <v>175.98</v>
      </c>
      <c r="G431" s="64">
        <f>G430</f>
        <v>30</v>
      </c>
      <c r="H431" s="63">
        <f t="shared" si="235"/>
        <v>5279.4</v>
      </c>
      <c r="I431" s="63"/>
      <c r="J431" s="10">
        <f>H431-H430</f>
        <v>264.89999999999964</v>
      </c>
      <c r="K431" s="7">
        <f>(H431/H430)-100%</f>
        <v>5.2826802273407081E-2</v>
      </c>
      <c r="L431" s="83"/>
      <c r="M431" s="11"/>
      <c r="N431" s="5" t="s">
        <v>273</v>
      </c>
      <c r="O431" s="5" t="s">
        <v>289</v>
      </c>
    </row>
    <row r="432" spans="1:15" x14ac:dyDescent="0.35">
      <c r="B432" s="201" t="s">
        <v>35</v>
      </c>
      <c r="C432" s="63" t="e" vm="25">
        <v>#VALUE!</v>
      </c>
      <c r="D432" s="63" t="e" vm="25">
        <f>C432</f>
        <v>#VALUE!</v>
      </c>
      <c r="E432" s="63" cm="1">
        <f t="array" aca="1" ref="E432" ca="1">_FV(D432,"Price")</f>
        <v>177.64</v>
      </c>
      <c r="F432" s="63">
        <v>167.67</v>
      </c>
      <c r="G432" s="64">
        <v>60</v>
      </c>
      <c r="H432" s="63">
        <f t="shared" ref="H432:H433" si="237">F432*G432</f>
        <v>10060.199999999999</v>
      </c>
      <c r="I432" s="63" t="s">
        <v>5</v>
      </c>
      <c r="J432" s="45"/>
      <c r="K432" s="46"/>
      <c r="L432" s="83"/>
      <c r="M432" s="123"/>
    </row>
    <row r="433" spans="1:15" x14ac:dyDescent="0.35">
      <c r="B433" s="202"/>
      <c r="C433" s="63" t="s">
        <v>101</v>
      </c>
      <c r="D433" s="63" t="str">
        <f t="shared" ref="D433" si="238">C433</f>
        <v>NVDA</v>
      </c>
      <c r="E433" s="63">
        <f ca="1">E432</f>
        <v>177.64</v>
      </c>
      <c r="F433" s="63">
        <v>175.81</v>
      </c>
      <c r="G433" s="64">
        <f>G432</f>
        <v>60</v>
      </c>
      <c r="H433" s="63">
        <f t="shared" si="237"/>
        <v>10548.6</v>
      </c>
      <c r="I433" s="63"/>
      <c r="J433" s="45">
        <f>H433-H432</f>
        <v>488.40000000000146</v>
      </c>
      <c r="K433" s="46">
        <f>(H433/H432)-100%</f>
        <v>4.8547742589610587E-2</v>
      </c>
      <c r="L433" s="83"/>
      <c r="M433" s="123"/>
      <c r="N433" s="5" t="s">
        <v>276</v>
      </c>
      <c r="O433" s="5" t="s">
        <v>282</v>
      </c>
    </row>
    <row r="434" spans="1:15" x14ac:dyDescent="0.35">
      <c r="B434" s="135" t="s">
        <v>35</v>
      </c>
      <c r="C434" s="63" t="e" vm="25">
        <v>#VALUE!</v>
      </c>
      <c r="D434" s="63" t="e" vm="25">
        <f>C434</f>
        <v>#VALUE!</v>
      </c>
      <c r="E434" s="63" cm="1">
        <f t="array" aca="1" ref="E434" ca="1">_FV(D434,"Price")</f>
        <v>177.64</v>
      </c>
      <c r="F434" s="63">
        <v>177.22</v>
      </c>
      <c r="G434" s="64">
        <v>39</v>
      </c>
      <c r="H434" s="63">
        <f t="shared" ref="H434:H445" si="239">F434*G434</f>
        <v>6911.58</v>
      </c>
      <c r="I434" s="63" t="s">
        <v>5</v>
      </c>
      <c r="J434" s="10"/>
      <c r="K434" s="7"/>
      <c r="L434" s="83"/>
      <c r="M434" s="11"/>
    </row>
    <row r="435" spans="1:15" x14ac:dyDescent="0.35">
      <c r="B435" s="136"/>
      <c r="C435" s="63" t="s">
        <v>101</v>
      </c>
      <c r="D435" s="63" t="str">
        <f t="shared" ref="D435" si="240">C435</f>
        <v>NVDA</v>
      </c>
      <c r="E435" s="63">
        <f ca="1">E434</f>
        <v>177.64</v>
      </c>
      <c r="F435" s="63">
        <v>175.98</v>
      </c>
      <c r="G435" s="64">
        <f>G434</f>
        <v>39</v>
      </c>
      <c r="H435" s="63">
        <f t="shared" si="239"/>
        <v>6863.2199999999993</v>
      </c>
      <c r="I435" s="63"/>
      <c r="J435" s="10">
        <f>H435-H434</f>
        <v>-48.360000000000582</v>
      </c>
      <c r="K435" s="7">
        <f>(H435/H434)-100%</f>
        <v>-6.9969529398488106E-3</v>
      </c>
      <c r="L435" s="83"/>
      <c r="M435" s="11"/>
      <c r="N435" s="5" t="s">
        <v>278</v>
      </c>
      <c r="O435" s="5" t="s">
        <v>289</v>
      </c>
    </row>
    <row r="436" spans="1:15" x14ac:dyDescent="0.35">
      <c r="B436" s="148" t="s">
        <v>44</v>
      </c>
      <c r="C436" s="52" t="e" vm="11">
        <v>#VALUE!</v>
      </c>
      <c r="D436" s="52" t="e" vm="11">
        <v>#VALUE!</v>
      </c>
      <c r="E436" s="52" cm="1">
        <f t="array" aca="1" ref="E436" ca="1">_FV(D436,"Price")</f>
        <v>396.80220000000003</v>
      </c>
      <c r="F436" s="52">
        <v>394.71</v>
      </c>
      <c r="G436" s="54">
        <v>24</v>
      </c>
      <c r="H436" s="52">
        <f t="shared" si="239"/>
        <v>9473.0399999999991</v>
      </c>
      <c r="I436" s="52" t="s">
        <v>5</v>
      </c>
      <c r="J436" s="10"/>
      <c r="K436" s="7"/>
      <c r="L436" s="83"/>
      <c r="M436" s="11"/>
    </row>
    <row r="437" spans="1:15" x14ac:dyDescent="0.35">
      <c r="B437" s="149"/>
      <c r="C437" s="52" t="s">
        <v>37</v>
      </c>
      <c r="D437" s="52" t="str">
        <f t="shared" ref="D437" si="241">C437</f>
        <v>TSLA</v>
      </c>
      <c r="E437" s="52">
        <f ca="1">E436</f>
        <v>396.80220000000003</v>
      </c>
      <c r="F437" s="52">
        <v>433.06</v>
      </c>
      <c r="G437" s="54">
        <f>G436</f>
        <v>24</v>
      </c>
      <c r="H437" s="52">
        <f t="shared" si="239"/>
        <v>10393.44</v>
      </c>
      <c r="I437" s="52"/>
      <c r="J437" s="10">
        <f>H437-H436</f>
        <v>920.40000000000146</v>
      </c>
      <c r="K437" s="7">
        <f>(H437/H436)-100%</f>
        <v>9.715994020926777E-2</v>
      </c>
      <c r="L437" s="83"/>
      <c r="M437" s="11"/>
      <c r="N437" s="5" t="s">
        <v>279</v>
      </c>
      <c r="O437" s="5" t="s">
        <v>285</v>
      </c>
    </row>
    <row r="438" spans="1:15" x14ac:dyDescent="0.35">
      <c r="B438" s="139" t="s">
        <v>32</v>
      </c>
      <c r="C438" s="63" t="e" vm="25">
        <v>#VALUE!</v>
      </c>
      <c r="D438" s="63" t="e" vm="25">
        <f>C438</f>
        <v>#VALUE!</v>
      </c>
      <c r="E438" s="63" cm="1">
        <f t="array" aca="1" ref="E438" ca="1">_FV(D438,"Price")</f>
        <v>177.64</v>
      </c>
      <c r="F438" s="63">
        <v>175.15</v>
      </c>
      <c r="G438" s="64">
        <v>9</v>
      </c>
      <c r="H438" s="63">
        <f t="shared" si="239"/>
        <v>1576.3500000000001</v>
      </c>
      <c r="I438" s="63" t="s">
        <v>5</v>
      </c>
      <c r="J438" s="10"/>
      <c r="K438" s="7"/>
      <c r="L438" s="83"/>
      <c r="M438" s="11"/>
    </row>
    <row r="439" spans="1:15" x14ac:dyDescent="0.35">
      <c r="B439" s="140"/>
      <c r="C439" s="63" t="s">
        <v>101</v>
      </c>
      <c r="D439" s="63" t="str">
        <f t="shared" ref="D439" si="242">C439</f>
        <v>NVDA</v>
      </c>
      <c r="E439" s="63">
        <f ca="1">E438</f>
        <v>177.64</v>
      </c>
      <c r="F439" s="63">
        <v>176.86</v>
      </c>
      <c r="G439" s="64">
        <f>G438</f>
        <v>9</v>
      </c>
      <c r="H439" s="63">
        <f t="shared" si="239"/>
        <v>1591.7400000000002</v>
      </c>
      <c r="I439" s="63"/>
      <c r="J439" s="10">
        <f>H439-H438</f>
        <v>15.3900000000001</v>
      </c>
      <c r="K439" s="7">
        <f>(H439/H438)-100%</f>
        <v>9.7630602340852413E-3</v>
      </c>
      <c r="L439" s="83"/>
      <c r="M439" s="11"/>
      <c r="N439" s="5" t="s">
        <v>280</v>
      </c>
      <c r="O439" s="5" t="s">
        <v>289</v>
      </c>
    </row>
    <row r="440" spans="1:15" x14ac:dyDescent="0.35">
      <c r="A440" s="5">
        <v>1</v>
      </c>
      <c r="B440" s="205" t="s">
        <v>383</v>
      </c>
      <c r="C440" s="101" t="e" vm="43">
        <v>#VALUE!</v>
      </c>
      <c r="D440" s="101" t="e" vm="43">
        <f>C440</f>
        <v>#VALUE!</v>
      </c>
      <c r="E440" s="101" cm="1">
        <f t="array" aca="1" ref="E440" ca="1">_FV(D440,"Price")</f>
        <v>3.9750000000000001</v>
      </c>
      <c r="F440" s="101">
        <v>6.39</v>
      </c>
      <c r="G440" s="102">
        <v>62</v>
      </c>
      <c r="H440" s="101">
        <f t="shared" si="239"/>
        <v>396.18</v>
      </c>
      <c r="I440" s="101" t="s">
        <v>5</v>
      </c>
      <c r="J440" s="103"/>
      <c r="K440" s="104"/>
      <c r="L440" s="83"/>
      <c r="M440" s="11"/>
    </row>
    <row r="441" spans="1:15" x14ac:dyDescent="0.35">
      <c r="A441" s="5">
        <v>1</v>
      </c>
      <c r="B441" s="206"/>
      <c r="C441" s="101" t="s">
        <v>268</v>
      </c>
      <c r="D441" s="101" t="str">
        <f t="shared" ref="D441" si="243">C441</f>
        <v>GRAB</v>
      </c>
      <c r="E441" s="101">
        <f ca="1">E440</f>
        <v>3.9750000000000001</v>
      </c>
      <c r="F441" s="101">
        <f ca="1">E441</f>
        <v>3.9750000000000001</v>
      </c>
      <c r="G441" s="102">
        <f>G440</f>
        <v>62</v>
      </c>
      <c r="H441" s="101">
        <f t="shared" ca="1" si="239"/>
        <v>246.45000000000002</v>
      </c>
      <c r="I441" s="101"/>
      <c r="J441" s="103">
        <f ca="1">H441-H440</f>
        <v>-149.72999999999999</v>
      </c>
      <c r="K441" s="104">
        <f ca="1">(H441/H440)-100%</f>
        <v>-0.3779342723004695</v>
      </c>
      <c r="L441" s="83">
        <v>45916</v>
      </c>
      <c r="M441" s="11"/>
      <c r="N441" s="5" t="s">
        <v>280</v>
      </c>
    </row>
    <row r="442" spans="1:15" x14ac:dyDescent="0.35">
      <c r="A442" s="5">
        <v>1</v>
      </c>
      <c r="B442" s="139" t="s">
        <v>385</v>
      </c>
      <c r="C442" s="13" t="e" vm="43">
        <v>#VALUE!</v>
      </c>
      <c r="D442" s="13" t="e" vm="43">
        <f>C442</f>
        <v>#VALUE!</v>
      </c>
      <c r="E442" s="13" cm="1">
        <f t="array" aca="1" ref="E442" ca="1">_FV(D442,"Price")</f>
        <v>3.9750000000000001</v>
      </c>
      <c r="F442" s="13">
        <v>6.02</v>
      </c>
      <c r="G442" s="14">
        <v>21</v>
      </c>
      <c r="H442" s="13">
        <f t="shared" si="239"/>
        <v>126.41999999999999</v>
      </c>
      <c r="I442" s="13" t="s">
        <v>5</v>
      </c>
      <c r="J442" s="10"/>
      <c r="K442" s="7"/>
      <c r="L442" s="83"/>
      <c r="M442" s="11"/>
    </row>
    <row r="443" spans="1:15" x14ac:dyDescent="0.35">
      <c r="A443" s="5">
        <v>1</v>
      </c>
      <c r="B443" s="140"/>
      <c r="C443" s="13" t="s">
        <v>268</v>
      </c>
      <c r="D443" s="13" t="str">
        <f t="shared" ref="D443" si="244">C443</f>
        <v>GRAB</v>
      </c>
      <c r="E443" s="13">
        <f ca="1">E442</f>
        <v>3.9750000000000001</v>
      </c>
      <c r="F443" s="13">
        <f ca="1">E443</f>
        <v>3.9750000000000001</v>
      </c>
      <c r="G443" s="14">
        <f>G442</f>
        <v>21</v>
      </c>
      <c r="H443" s="13">
        <f t="shared" ca="1" si="239"/>
        <v>83.475000000000009</v>
      </c>
      <c r="I443" s="13"/>
      <c r="J443" s="10">
        <f ca="1">H443-H442</f>
        <v>-42.944999999999979</v>
      </c>
      <c r="K443" s="7">
        <f ca="1">(H443/H442)-100%</f>
        <v>-0.33970099667774079</v>
      </c>
      <c r="L443" s="83">
        <v>45917</v>
      </c>
      <c r="M443" s="11"/>
      <c r="N443" s="5" t="s">
        <v>281</v>
      </c>
    </row>
    <row r="444" spans="1:15" x14ac:dyDescent="0.35">
      <c r="B444" s="135" t="s">
        <v>35</v>
      </c>
      <c r="C444" s="52" t="e" vm="11">
        <v>#VALUE!</v>
      </c>
      <c r="D444" s="52" t="e" vm="11">
        <v>#VALUE!</v>
      </c>
      <c r="E444" s="52" cm="1">
        <f t="array" aca="1" ref="E444" ca="1">_FV(D444,"Price")</f>
        <v>396.80220000000003</v>
      </c>
      <c r="F444" s="52">
        <v>424.05</v>
      </c>
      <c r="G444" s="54">
        <v>24</v>
      </c>
      <c r="H444" s="52">
        <f t="shared" si="239"/>
        <v>10177.200000000001</v>
      </c>
      <c r="I444" s="52" t="s">
        <v>5</v>
      </c>
      <c r="J444" s="10"/>
      <c r="K444" s="7"/>
      <c r="L444" s="83"/>
      <c r="M444" s="11"/>
    </row>
    <row r="445" spans="1:15" x14ac:dyDescent="0.35">
      <c r="B445" s="136"/>
      <c r="C445" s="99" t="s">
        <v>37</v>
      </c>
      <c r="D445" s="99" t="str">
        <f t="shared" ref="D445" si="245">C445</f>
        <v>TSLA</v>
      </c>
      <c r="E445" s="99">
        <f ca="1">E444</f>
        <v>396.80220000000003</v>
      </c>
      <c r="F445" s="99">
        <v>433.49</v>
      </c>
      <c r="G445" s="100">
        <f>G444</f>
        <v>24</v>
      </c>
      <c r="H445" s="99">
        <f t="shared" si="239"/>
        <v>10403.76</v>
      </c>
      <c r="I445" s="99"/>
      <c r="J445" s="10">
        <f>H445-H444</f>
        <v>226.55999999999949</v>
      </c>
      <c r="K445" s="7">
        <f>(H445/H444)-100%</f>
        <v>2.226152576347129E-2</v>
      </c>
      <c r="L445" s="83"/>
      <c r="M445" s="11"/>
      <c r="N445" s="5" t="s">
        <v>283</v>
      </c>
      <c r="O445" s="5" t="s">
        <v>284</v>
      </c>
    </row>
    <row r="446" spans="1:15" x14ac:dyDescent="0.35">
      <c r="B446" s="148" t="s">
        <v>44</v>
      </c>
      <c r="C446" s="63" t="e" vm="25">
        <v>#VALUE!</v>
      </c>
      <c r="D446" s="63" t="e" vm="25">
        <f>C446</f>
        <v>#VALUE!</v>
      </c>
      <c r="E446" s="63" cm="1">
        <f t="array" aca="1" ref="E446" ca="1">_FV(D446,"Price")</f>
        <v>177.64</v>
      </c>
      <c r="F446" s="63">
        <v>177.99</v>
      </c>
      <c r="G446" s="64">
        <v>57</v>
      </c>
      <c r="H446" s="63">
        <f t="shared" ref="H446:H455" si="246">F446*G446</f>
        <v>10145.43</v>
      </c>
      <c r="I446" s="63" t="s">
        <v>5</v>
      </c>
      <c r="J446" s="10"/>
      <c r="K446" s="7"/>
      <c r="L446" s="83"/>
      <c r="M446" s="11"/>
    </row>
    <row r="447" spans="1:15" x14ac:dyDescent="0.35">
      <c r="B447" s="149"/>
      <c r="C447" s="63" t="s">
        <v>101</v>
      </c>
      <c r="D447" s="63" t="str">
        <f t="shared" ref="D447" si="247">C447</f>
        <v>NVDA</v>
      </c>
      <c r="E447" s="63">
        <f ca="1">E446</f>
        <v>177.64</v>
      </c>
      <c r="F447" s="63">
        <v>176.78</v>
      </c>
      <c r="G447" s="64">
        <f>G446</f>
        <v>57</v>
      </c>
      <c r="H447" s="63">
        <f t="shared" si="246"/>
        <v>10076.460000000001</v>
      </c>
      <c r="I447" s="63"/>
      <c r="J447" s="10">
        <f>H447-H446</f>
        <v>-68.969999999999345</v>
      </c>
      <c r="K447" s="7">
        <f>(H447/H446)-100%</f>
        <v>-6.7981347266700132E-3</v>
      </c>
      <c r="L447" s="83"/>
      <c r="M447" s="11"/>
      <c r="N447" s="5" t="s">
        <v>286</v>
      </c>
      <c r="O447" s="5" t="s">
        <v>289</v>
      </c>
    </row>
    <row r="448" spans="1:15" x14ac:dyDescent="0.35">
      <c r="B448" s="141" t="s">
        <v>33</v>
      </c>
      <c r="C448" s="63" t="e" vm="25">
        <v>#VALUE!</v>
      </c>
      <c r="D448" s="63" t="e" vm="25">
        <f>C448</f>
        <v>#VALUE!</v>
      </c>
      <c r="E448" s="63" cm="1">
        <f t="array" aca="1" ref="E448" ca="1">_FV(D448,"Price")</f>
        <v>177.64</v>
      </c>
      <c r="F448" s="63">
        <v>175.98</v>
      </c>
      <c r="G448" s="64">
        <v>28</v>
      </c>
      <c r="H448" s="63">
        <f t="shared" si="246"/>
        <v>4927.4399999999996</v>
      </c>
      <c r="I448" s="63" t="s">
        <v>5</v>
      </c>
      <c r="J448" s="10"/>
      <c r="K448" s="7"/>
      <c r="L448" s="83"/>
      <c r="M448" s="11"/>
    </row>
    <row r="449" spans="2:15" x14ac:dyDescent="0.35">
      <c r="B449" s="142"/>
      <c r="C449" s="63" t="s">
        <v>101</v>
      </c>
      <c r="D449" s="63" t="str">
        <f t="shared" ref="D449:D451" si="248">C449</f>
        <v>NVDA</v>
      </c>
      <c r="E449" s="63">
        <f ca="1">E448</f>
        <v>177.64</v>
      </c>
      <c r="F449" s="63">
        <v>175.98</v>
      </c>
      <c r="G449" s="64">
        <f>G448</f>
        <v>28</v>
      </c>
      <c r="H449" s="63">
        <f t="shared" si="246"/>
        <v>4927.4399999999996</v>
      </c>
      <c r="I449" s="63"/>
      <c r="J449" s="10">
        <f>H449-H448</f>
        <v>0</v>
      </c>
      <c r="K449" s="7">
        <f>(H449/H448)-100%</f>
        <v>0</v>
      </c>
      <c r="L449" s="83"/>
      <c r="M449" s="11"/>
      <c r="N449" s="5" t="s">
        <v>287</v>
      </c>
      <c r="O449" s="5" t="s">
        <v>289</v>
      </c>
    </row>
    <row r="450" spans="2:15" x14ac:dyDescent="0.35">
      <c r="B450" s="204" t="s">
        <v>35</v>
      </c>
      <c r="C450" s="95" t="e" vm="25">
        <v>#VALUE!</v>
      </c>
      <c r="D450" s="95" t="e" vm="25">
        <f t="shared" si="248"/>
        <v>#VALUE!</v>
      </c>
      <c r="E450" s="95" cm="1">
        <f t="array" aca="1" ref="E450" ca="1">_FV(D450,"Price")</f>
        <v>177.64</v>
      </c>
      <c r="F450" s="95">
        <v>177.05</v>
      </c>
      <c r="G450" s="96">
        <v>170</v>
      </c>
      <c r="H450" s="95">
        <f t="shared" si="246"/>
        <v>30098.500000000004</v>
      </c>
      <c r="I450" s="95" t="s">
        <v>5</v>
      </c>
      <c r="J450" s="10"/>
      <c r="K450" s="7"/>
      <c r="L450" s="83"/>
      <c r="M450" s="11"/>
    </row>
    <row r="451" spans="2:15" x14ac:dyDescent="0.35">
      <c r="B451" s="136"/>
      <c r="C451" s="95" t="s">
        <v>101</v>
      </c>
      <c r="D451" s="95" t="str">
        <f t="shared" si="248"/>
        <v>NVDA</v>
      </c>
      <c r="E451" s="95">
        <f ca="1">E450</f>
        <v>177.64</v>
      </c>
      <c r="F451" s="95">
        <v>177.35</v>
      </c>
      <c r="G451" s="96">
        <f>G450</f>
        <v>170</v>
      </c>
      <c r="H451" s="95">
        <f t="shared" si="246"/>
        <v>30149.5</v>
      </c>
      <c r="I451" s="95"/>
      <c r="J451" s="10">
        <f>H451-H450</f>
        <v>50.999999999996362</v>
      </c>
      <c r="K451" s="7">
        <f>(H451/H450)-100%</f>
        <v>1.6944365998303734E-3</v>
      </c>
      <c r="L451" s="83"/>
      <c r="M451" s="11"/>
      <c r="N451" s="5" t="s">
        <v>290</v>
      </c>
      <c r="O451" s="5" t="s">
        <v>291</v>
      </c>
    </row>
    <row r="452" spans="2:15" x14ac:dyDescent="0.35">
      <c r="B452" s="148" t="s">
        <v>44</v>
      </c>
      <c r="C452" s="13" t="e" vm="11">
        <v>#VALUE!</v>
      </c>
      <c r="D452" s="13" t="e" vm="11">
        <v>#VALUE!</v>
      </c>
      <c r="E452" s="13" cm="1">
        <f t="array" aca="1" ref="E452" ca="1">_FV(D452,"Price")</f>
        <v>396.80220000000003</v>
      </c>
      <c r="F452" s="13">
        <v>425.71</v>
      </c>
      <c r="G452" s="14">
        <v>18</v>
      </c>
      <c r="H452" s="13">
        <f t="shared" si="246"/>
        <v>7662.78</v>
      </c>
      <c r="I452" s="13" t="s">
        <v>5</v>
      </c>
      <c r="J452" s="10"/>
      <c r="K452" s="7"/>
      <c r="L452" s="83"/>
      <c r="M452" s="11"/>
    </row>
    <row r="453" spans="2:15" x14ac:dyDescent="0.35">
      <c r="B453" s="149"/>
      <c r="C453" s="13" t="s">
        <v>37</v>
      </c>
      <c r="D453" s="13" t="str">
        <f t="shared" ref="D453:D455" si="249">C453</f>
        <v>TSLA</v>
      </c>
      <c r="E453" s="13">
        <f ca="1">E452</f>
        <v>396.80220000000003</v>
      </c>
      <c r="F453" s="13">
        <v>431.3</v>
      </c>
      <c r="G453" s="14">
        <f>G452</f>
        <v>18</v>
      </c>
      <c r="H453" s="13">
        <f t="shared" si="246"/>
        <v>7763.4000000000005</v>
      </c>
      <c r="I453" s="13"/>
      <c r="J453" s="10">
        <f>H453-H452</f>
        <v>100.6200000000008</v>
      </c>
      <c r="K453" s="7">
        <f>(H453/H452)-100%</f>
        <v>1.3131004674543867E-2</v>
      </c>
      <c r="L453" s="83"/>
      <c r="M453" s="11"/>
      <c r="N453" s="5" t="s">
        <v>290</v>
      </c>
      <c r="O453" s="5" t="s">
        <v>293</v>
      </c>
    </row>
    <row r="454" spans="2:15" x14ac:dyDescent="0.35">
      <c r="B454" s="204" t="s">
        <v>35</v>
      </c>
      <c r="C454" s="95" t="e" vm="25">
        <v>#VALUE!</v>
      </c>
      <c r="D454" s="95" t="e" vm="25">
        <f t="shared" si="249"/>
        <v>#VALUE!</v>
      </c>
      <c r="E454" s="95" cm="1">
        <f t="array" aca="1" ref="E454" ca="1">_FV(D454,"Price")</f>
        <v>177.64</v>
      </c>
      <c r="F454" s="95">
        <v>177.13</v>
      </c>
      <c r="G454" s="96">
        <v>299</v>
      </c>
      <c r="H454" s="95">
        <f t="shared" si="246"/>
        <v>52961.869999999995</v>
      </c>
      <c r="I454" s="95" t="s">
        <v>5</v>
      </c>
      <c r="J454" s="10"/>
      <c r="K454" s="7"/>
      <c r="L454" s="83"/>
      <c r="M454" s="11"/>
    </row>
    <row r="455" spans="2:15" x14ac:dyDescent="0.35">
      <c r="B455" s="136"/>
      <c r="C455" s="95" t="s">
        <v>101</v>
      </c>
      <c r="D455" s="95" t="str">
        <f t="shared" si="249"/>
        <v>NVDA</v>
      </c>
      <c r="E455" s="95">
        <f ca="1">E454</f>
        <v>177.64</v>
      </c>
      <c r="F455" s="95">
        <v>183.15</v>
      </c>
      <c r="G455" s="96">
        <f>G454</f>
        <v>299</v>
      </c>
      <c r="H455" s="95">
        <f t="shared" si="246"/>
        <v>54761.85</v>
      </c>
      <c r="I455" s="95"/>
      <c r="J455" s="10">
        <f>H455-H454</f>
        <v>1799.9800000000032</v>
      </c>
      <c r="K455" s="7">
        <f>(H455/H454)-100%</f>
        <v>3.3986337718060255E-2</v>
      </c>
      <c r="L455" s="83"/>
      <c r="M455" s="11"/>
      <c r="N455" s="5" t="s">
        <v>292</v>
      </c>
      <c r="O455" s="5" t="s">
        <v>294</v>
      </c>
    </row>
    <row r="456" spans="2:15" x14ac:dyDescent="0.35">
      <c r="B456" s="148" t="s">
        <v>32</v>
      </c>
      <c r="C456" s="52" t="e" vm="34">
        <v>#VALUE!</v>
      </c>
      <c r="D456" s="52" t="e" vm="34">
        <f>C456</f>
        <v>#VALUE!</v>
      </c>
      <c r="E456" s="52" cm="1">
        <f t="array" aca="1" ref="E456" ca="1">_FV(D456,"Price")</f>
        <v>599.91999999999996</v>
      </c>
      <c r="F456" s="52">
        <v>594</v>
      </c>
      <c r="G456" s="54">
        <v>101</v>
      </c>
      <c r="H456" s="52">
        <f t="shared" ref="H456:H459" si="250">F456*G456</f>
        <v>59994</v>
      </c>
      <c r="I456" s="52" t="s">
        <v>5</v>
      </c>
      <c r="J456" s="10"/>
      <c r="K456" s="7"/>
      <c r="L456" s="83"/>
      <c r="M456" s="11"/>
    </row>
    <row r="457" spans="2:15" x14ac:dyDescent="0.35">
      <c r="B457" s="149"/>
      <c r="C457" s="52" t="s">
        <v>156</v>
      </c>
      <c r="D457" s="52" t="str">
        <f t="shared" ref="D457" si="251">C457</f>
        <v>QQQ ETF</v>
      </c>
      <c r="E457" s="52">
        <f ca="1">E456</f>
        <v>599.91999999999996</v>
      </c>
      <c r="F457" s="52">
        <v>598.5</v>
      </c>
      <c r="G457" s="54">
        <f>G456</f>
        <v>101</v>
      </c>
      <c r="H457" s="52">
        <f t="shared" si="250"/>
        <v>60448.5</v>
      </c>
      <c r="I457" s="52"/>
      <c r="J457" s="10">
        <f>H457-H456</f>
        <v>454.5</v>
      </c>
      <c r="K457" s="7">
        <f>(H457/H456)-100%</f>
        <v>7.575757575757569E-3</v>
      </c>
      <c r="L457" s="83"/>
      <c r="M457" s="11"/>
      <c r="N457" s="5" t="s">
        <v>292</v>
      </c>
      <c r="O457" s="5" t="s">
        <v>294</v>
      </c>
    </row>
    <row r="458" spans="2:15" x14ac:dyDescent="0.35">
      <c r="B458" s="153" t="s">
        <v>42</v>
      </c>
      <c r="C458" s="52" t="e" vm="11">
        <v>#VALUE!</v>
      </c>
      <c r="D458" s="52" t="e" vm="11">
        <v>#VALUE!</v>
      </c>
      <c r="E458" s="52" cm="1">
        <f t="array" aca="1" ref="E458" ca="1">_FV(D458,"Price")</f>
        <v>396.80220000000003</v>
      </c>
      <c r="F458" s="43">
        <v>438.29</v>
      </c>
      <c r="G458" s="44">
        <v>60</v>
      </c>
      <c r="H458" s="52">
        <f t="shared" si="250"/>
        <v>26297.4</v>
      </c>
      <c r="I458" s="52" t="s">
        <v>5</v>
      </c>
      <c r="J458" s="10"/>
      <c r="K458" s="7"/>
      <c r="L458" s="83"/>
      <c r="M458" s="11"/>
    </row>
    <row r="459" spans="2:15" x14ac:dyDescent="0.35">
      <c r="B459" s="153"/>
      <c r="C459" s="52" t="s">
        <v>37</v>
      </c>
      <c r="D459" s="52" t="str">
        <f t="shared" ref="D459" si="252">C459</f>
        <v>TSLA</v>
      </c>
      <c r="E459" s="52">
        <f ca="1">E458</f>
        <v>396.80220000000003</v>
      </c>
      <c r="F459" s="43">
        <v>447</v>
      </c>
      <c r="G459" s="44">
        <f>G458</f>
        <v>60</v>
      </c>
      <c r="H459" s="52">
        <f t="shared" si="250"/>
        <v>26820</v>
      </c>
      <c r="I459" s="52"/>
      <c r="J459" s="10">
        <f>H459-H458</f>
        <v>522.59999999999854</v>
      </c>
      <c r="K459" s="7">
        <f>(H459/H458)-100%</f>
        <v>1.9872687033699155E-2</v>
      </c>
      <c r="L459" s="83"/>
      <c r="M459" s="11"/>
      <c r="N459" s="5" t="s">
        <v>295</v>
      </c>
      <c r="O459" s="5" t="s">
        <v>298</v>
      </c>
    </row>
    <row r="460" spans="2:15" x14ac:dyDescent="0.35">
      <c r="B460" s="148" t="s">
        <v>32</v>
      </c>
      <c r="C460" s="52" t="e" vm="11">
        <v>#VALUE!</v>
      </c>
      <c r="D460" s="52" t="e" vm="11">
        <v>#VALUE!</v>
      </c>
      <c r="E460" s="52" cm="1">
        <f t="array" aca="1" ref="E460" ca="1">_FV(D460,"Price")</f>
        <v>396.80220000000003</v>
      </c>
      <c r="F460" s="52">
        <v>443.1</v>
      </c>
      <c r="G460" s="54">
        <v>90</v>
      </c>
      <c r="H460" s="52">
        <f t="shared" ref="H460:H463" si="253">F460*G460</f>
        <v>39879</v>
      </c>
      <c r="I460" s="52" t="s">
        <v>5</v>
      </c>
      <c r="J460" s="10"/>
      <c r="K460" s="7"/>
      <c r="L460" s="83"/>
      <c r="M460" s="11"/>
    </row>
    <row r="461" spans="2:15" x14ac:dyDescent="0.35">
      <c r="B461" s="149"/>
      <c r="C461" s="52" t="s">
        <v>37</v>
      </c>
      <c r="D461" s="52" t="str">
        <f t="shared" ref="D461:D463" si="254">C461</f>
        <v>TSLA</v>
      </c>
      <c r="E461" s="52">
        <f ca="1">E460</f>
        <v>396.80220000000003</v>
      </c>
      <c r="F461" s="52">
        <v>445</v>
      </c>
      <c r="G461" s="54">
        <f>G460</f>
        <v>90</v>
      </c>
      <c r="H461" s="52">
        <f t="shared" si="253"/>
        <v>40050</v>
      </c>
      <c r="I461" s="52"/>
      <c r="J461" s="10">
        <f>H461-H460</f>
        <v>171</v>
      </c>
      <c r="K461" s="7">
        <f>(H461/H460)-100%</f>
        <v>4.2879711126155851E-3</v>
      </c>
      <c r="L461" s="83"/>
      <c r="M461" s="11"/>
      <c r="N461" s="5" t="s">
        <v>295</v>
      </c>
      <c r="O461" s="5" t="s">
        <v>298</v>
      </c>
    </row>
    <row r="462" spans="2:15" x14ac:dyDescent="0.35">
      <c r="B462" s="148" t="s">
        <v>32</v>
      </c>
      <c r="C462" s="95" t="e" vm="25">
        <v>#VALUE!</v>
      </c>
      <c r="D462" s="95" t="e" vm="25">
        <f t="shared" si="254"/>
        <v>#VALUE!</v>
      </c>
      <c r="E462" s="95" cm="1">
        <f t="array" aca="1" ref="E462" ca="1">_FV(D462,"Price")</f>
        <v>177.64</v>
      </c>
      <c r="F462" s="43">
        <v>186.13</v>
      </c>
      <c r="G462" s="44">
        <v>112</v>
      </c>
      <c r="H462" s="95">
        <f t="shared" si="253"/>
        <v>20846.559999999998</v>
      </c>
      <c r="I462" s="95" t="s">
        <v>5</v>
      </c>
      <c r="J462" s="10"/>
      <c r="K462" s="7"/>
      <c r="L462" s="83"/>
      <c r="M462" s="11"/>
    </row>
    <row r="463" spans="2:15" x14ac:dyDescent="0.35">
      <c r="B463" s="149"/>
      <c r="C463" s="95" t="s">
        <v>101</v>
      </c>
      <c r="D463" s="95" t="str">
        <f t="shared" si="254"/>
        <v>NVDA</v>
      </c>
      <c r="E463" s="95">
        <f ca="1">E462</f>
        <v>177.64</v>
      </c>
      <c r="F463" s="43">
        <v>183.27</v>
      </c>
      <c r="G463" s="44">
        <f>G462</f>
        <v>112</v>
      </c>
      <c r="H463" s="95">
        <f t="shared" si="253"/>
        <v>20526.240000000002</v>
      </c>
      <c r="I463" s="95"/>
      <c r="J463" s="10">
        <f>H463-H462</f>
        <v>-320.31999999999607</v>
      </c>
      <c r="K463" s="7">
        <f>(H463/H462)-100%</f>
        <v>-1.5365604684897449E-2</v>
      </c>
      <c r="L463" s="83"/>
      <c r="M463" s="11"/>
      <c r="N463" s="5" t="s">
        <v>295</v>
      </c>
      <c r="O463" s="5" t="s">
        <v>303</v>
      </c>
    </row>
    <row r="464" spans="2:15" x14ac:dyDescent="0.35">
      <c r="B464" s="148" t="s">
        <v>44</v>
      </c>
      <c r="C464" s="63" t="e" vm="11">
        <v>#VALUE!</v>
      </c>
      <c r="D464" s="63" t="e" vm="11">
        <v>#VALUE!</v>
      </c>
      <c r="E464" s="63" cm="1">
        <f t="array" aca="1" ref="E464" ca="1">_FV(D464,"Price")</f>
        <v>396.80220000000003</v>
      </c>
      <c r="F464" s="43">
        <v>456.3</v>
      </c>
      <c r="G464" s="64">
        <v>17</v>
      </c>
      <c r="H464" s="63">
        <f t="shared" ref="H464:H471" si="255">F464*G464</f>
        <v>7757.1</v>
      </c>
      <c r="I464" s="63" t="s">
        <v>5</v>
      </c>
      <c r="J464" s="10"/>
      <c r="K464" s="7"/>
      <c r="L464" s="83"/>
      <c r="M464" s="11"/>
    </row>
    <row r="465" spans="1:15" x14ac:dyDescent="0.35">
      <c r="B465" s="149"/>
      <c r="C465" s="90" t="s">
        <v>37</v>
      </c>
      <c r="D465" s="90" t="str">
        <f t="shared" ref="D465" si="256">C465</f>
        <v>TSLA</v>
      </c>
      <c r="E465" s="90">
        <f ca="1">E464</f>
        <v>396.80220000000003</v>
      </c>
      <c r="F465" s="113">
        <v>455</v>
      </c>
      <c r="G465" s="91">
        <f>G464</f>
        <v>17</v>
      </c>
      <c r="H465" s="90">
        <f t="shared" si="255"/>
        <v>7735</v>
      </c>
      <c r="I465" s="90"/>
      <c r="J465" s="10">
        <f>H465-H464</f>
        <v>-22.100000000000364</v>
      </c>
      <c r="K465" s="7">
        <f>(H465/H464)-100%</f>
        <v>-2.8490028490029129E-3</v>
      </c>
      <c r="L465" s="83"/>
      <c r="M465" s="11"/>
      <c r="N465" s="5" t="s">
        <v>296</v>
      </c>
      <c r="O465" s="5" t="s">
        <v>348</v>
      </c>
    </row>
    <row r="466" spans="1:15" x14ac:dyDescent="0.35">
      <c r="B466" s="135" t="s">
        <v>35</v>
      </c>
      <c r="C466" s="52" t="e" vm="11">
        <v>#VALUE!</v>
      </c>
      <c r="D466" s="52" t="e" vm="11">
        <v>#VALUE!</v>
      </c>
      <c r="E466" s="52" cm="1">
        <f t="array" aca="1" ref="E466" ca="1">_FV(D466,"Price")</f>
        <v>396.80220000000003</v>
      </c>
      <c r="F466" s="43">
        <v>453.43</v>
      </c>
      <c r="G466" s="54">
        <v>45</v>
      </c>
      <c r="H466" s="52">
        <f t="shared" si="255"/>
        <v>20404.349999999999</v>
      </c>
      <c r="I466" s="52" t="s">
        <v>5</v>
      </c>
      <c r="J466" s="10"/>
      <c r="K466" s="7"/>
      <c r="L466" s="83"/>
      <c r="M466" s="11"/>
    </row>
    <row r="467" spans="1:15" x14ac:dyDescent="0.35">
      <c r="B467" s="136"/>
      <c r="C467" s="52" t="s">
        <v>37</v>
      </c>
      <c r="D467" s="52" t="str">
        <f t="shared" ref="D467:D469" si="257">C467</f>
        <v>TSLA</v>
      </c>
      <c r="E467" s="52">
        <f ca="1">E466</f>
        <v>396.80220000000003</v>
      </c>
      <c r="F467" s="43">
        <v>457.44</v>
      </c>
      <c r="G467" s="54">
        <f>G466</f>
        <v>45</v>
      </c>
      <c r="H467" s="52">
        <f t="shared" si="255"/>
        <v>20584.8</v>
      </c>
      <c r="I467" s="52"/>
      <c r="J467" s="10">
        <f>H467-H466</f>
        <v>180.45000000000073</v>
      </c>
      <c r="K467" s="7">
        <f>(H467/H466)-100%</f>
        <v>8.8437024458021263E-3</v>
      </c>
      <c r="L467" s="83"/>
      <c r="M467" s="11"/>
      <c r="N467" s="5" t="s">
        <v>296</v>
      </c>
      <c r="O467" s="5" t="s">
        <v>348</v>
      </c>
    </row>
    <row r="468" spans="1:15" x14ac:dyDescent="0.35">
      <c r="B468" s="204" t="s">
        <v>35</v>
      </c>
      <c r="C468" s="63" t="e" vm="25">
        <v>#VALUE!</v>
      </c>
      <c r="D468" s="63" t="e" vm="25">
        <f t="shared" si="257"/>
        <v>#VALUE!</v>
      </c>
      <c r="E468" s="63" cm="1">
        <f t="array" aca="1" ref="E468" ca="1">_FV(D468,"Price")</f>
        <v>177.64</v>
      </c>
      <c r="F468" s="43">
        <v>185.92</v>
      </c>
      <c r="G468" s="64">
        <v>110</v>
      </c>
      <c r="H468" s="63">
        <f t="shared" si="255"/>
        <v>20451.199999999997</v>
      </c>
      <c r="I468" s="63" t="s">
        <v>5</v>
      </c>
      <c r="J468" s="10"/>
      <c r="K468" s="7"/>
      <c r="L468" s="83"/>
      <c r="M468" s="11"/>
    </row>
    <row r="469" spans="1:15" x14ac:dyDescent="0.35">
      <c r="B469" s="136"/>
      <c r="C469" s="63" t="s">
        <v>101</v>
      </c>
      <c r="D469" s="63" t="str">
        <f t="shared" si="257"/>
        <v>NVDA</v>
      </c>
      <c r="E469" s="63">
        <f ca="1">E468</f>
        <v>177.64</v>
      </c>
      <c r="F469" s="43">
        <v>186.9</v>
      </c>
      <c r="G469" s="64">
        <f>G468</f>
        <v>110</v>
      </c>
      <c r="H469" s="63">
        <f t="shared" si="255"/>
        <v>20559</v>
      </c>
      <c r="I469" s="63"/>
      <c r="J469" s="10">
        <f>H469-H468</f>
        <v>107.80000000000291</v>
      </c>
      <c r="K469" s="7">
        <f>(H469/H468)-100%</f>
        <v>5.2710843373495742E-3</v>
      </c>
      <c r="L469" s="83"/>
      <c r="M469" s="11"/>
      <c r="N469" s="5" t="s">
        <v>297</v>
      </c>
      <c r="O469" s="5" t="s">
        <v>336</v>
      </c>
    </row>
    <row r="470" spans="1:15" x14ac:dyDescent="0.35">
      <c r="B470" s="153" t="s">
        <v>42</v>
      </c>
      <c r="C470" s="52" t="e" vm="11">
        <v>#VALUE!</v>
      </c>
      <c r="D470" s="52" t="e" vm="11">
        <v>#VALUE!</v>
      </c>
      <c r="E470" s="52" cm="1">
        <f t="array" aca="1" ref="E470" ca="1">_FV(D470,"Price")</f>
        <v>396.80220000000003</v>
      </c>
      <c r="F470" s="52">
        <v>452.55</v>
      </c>
      <c r="G470" s="54">
        <v>59</v>
      </c>
      <c r="H470" s="52">
        <f t="shared" si="255"/>
        <v>26700.45</v>
      </c>
      <c r="I470" s="52" t="s">
        <v>5</v>
      </c>
      <c r="J470" s="10"/>
      <c r="K470" s="7"/>
      <c r="L470" s="83"/>
      <c r="M470" s="11"/>
    </row>
    <row r="471" spans="1:15" x14ac:dyDescent="0.35">
      <c r="B471" s="153"/>
      <c r="C471" s="52" t="s">
        <v>37</v>
      </c>
      <c r="D471" s="52" t="str">
        <f t="shared" ref="D471" si="258">C471</f>
        <v>TSLA</v>
      </c>
      <c r="E471" s="52">
        <f ca="1">E470</f>
        <v>396.80220000000003</v>
      </c>
      <c r="F471" s="52">
        <v>453.56</v>
      </c>
      <c r="G471" s="54">
        <f>G470</f>
        <v>59</v>
      </c>
      <c r="H471" s="52">
        <f t="shared" si="255"/>
        <v>26760.04</v>
      </c>
      <c r="I471" s="52"/>
      <c r="J471" s="10">
        <f>H471-H470</f>
        <v>59.590000000000146</v>
      </c>
      <c r="K471" s="7">
        <f>(H471/H470)-100%</f>
        <v>2.2317975914263322E-3</v>
      </c>
      <c r="L471" s="83"/>
      <c r="M471" s="11"/>
      <c r="N471" s="5" t="s">
        <v>297</v>
      </c>
      <c r="O471" s="5" t="s">
        <v>324</v>
      </c>
    </row>
    <row r="472" spans="1:15" x14ac:dyDescent="0.35">
      <c r="B472" s="135" t="s">
        <v>35</v>
      </c>
      <c r="C472" s="52" t="e" vm="11">
        <v>#VALUE!</v>
      </c>
      <c r="D472" s="52" t="e" vm="11">
        <v>#VALUE!</v>
      </c>
      <c r="E472" s="52" cm="1">
        <f t="array" aca="1" ref="E472" ca="1">_FV(D472,"Price")</f>
        <v>396.80220000000003</v>
      </c>
      <c r="F472" s="43">
        <v>443.59</v>
      </c>
      <c r="G472" s="54">
        <v>31</v>
      </c>
      <c r="H472" s="52">
        <f t="shared" ref="H472:H475" si="259">F472*G472</f>
        <v>13751.289999999999</v>
      </c>
      <c r="I472" s="52" t="s">
        <v>5</v>
      </c>
      <c r="J472" s="10"/>
      <c r="K472" s="7"/>
      <c r="L472" s="83"/>
      <c r="M472" s="11"/>
    </row>
    <row r="473" spans="1:15" x14ac:dyDescent="0.35">
      <c r="B473" s="136"/>
      <c r="C473" s="52" t="s">
        <v>37</v>
      </c>
      <c r="D473" s="52" t="str">
        <f t="shared" ref="D473" si="260">C473</f>
        <v>TSLA</v>
      </c>
      <c r="E473" s="52">
        <f ca="1">E472</f>
        <v>396.80220000000003</v>
      </c>
      <c r="F473" s="43">
        <v>441.19</v>
      </c>
      <c r="G473" s="54">
        <f>G472</f>
        <v>31</v>
      </c>
      <c r="H473" s="52">
        <f t="shared" si="259"/>
        <v>13676.89</v>
      </c>
      <c r="I473" s="52"/>
      <c r="J473" s="10">
        <f>H473-H472</f>
        <v>-74.399999999999636</v>
      </c>
      <c r="K473" s="7">
        <f>(H473/H472)-100%</f>
        <v>-5.4104014968777703E-3</v>
      </c>
      <c r="L473" s="83"/>
      <c r="M473" s="11"/>
      <c r="N473" s="5" t="s">
        <v>299</v>
      </c>
      <c r="O473" s="5" t="s">
        <v>322</v>
      </c>
    </row>
    <row r="474" spans="1:15" x14ac:dyDescent="0.35">
      <c r="B474" s="148" t="s">
        <v>32</v>
      </c>
      <c r="C474" s="52" t="e" vm="34">
        <v>#VALUE!</v>
      </c>
      <c r="D474" s="52" t="e" vm="34">
        <f>C474</f>
        <v>#VALUE!</v>
      </c>
      <c r="E474" s="52" cm="1">
        <f t="array" aca="1" ref="E474" ca="1">_FV(D474,"Price")</f>
        <v>599.91999999999996</v>
      </c>
      <c r="F474" s="52">
        <v>604.54999999999995</v>
      </c>
      <c r="G474" s="54">
        <v>66</v>
      </c>
      <c r="H474" s="52">
        <f t="shared" si="259"/>
        <v>39900.299999999996</v>
      </c>
      <c r="I474" s="52" t="s">
        <v>5</v>
      </c>
      <c r="J474" s="10"/>
      <c r="K474" s="7"/>
      <c r="L474" s="83"/>
      <c r="M474" s="11"/>
    </row>
    <row r="475" spans="1:15" x14ac:dyDescent="0.35">
      <c r="B475" s="149"/>
      <c r="C475" s="52" t="s">
        <v>156</v>
      </c>
      <c r="D475" s="52" t="str">
        <f t="shared" ref="D475" si="261">C475</f>
        <v>QQQ ETF</v>
      </c>
      <c r="E475" s="52">
        <f ca="1">E474</f>
        <v>599.91999999999996</v>
      </c>
      <c r="F475" s="52">
        <v>606.04</v>
      </c>
      <c r="G475" s="54">
        <f>G474</f>
        <v>66</v>
      </c>
      <c r="H475" s="52">
        <f t="shared" si="259"/>
        <v>39998.639999999999</v>
      </c>
      <c r="I475" s="52"/>
      <c r="J475" s="10">
        <f>H475-H474</f>
        <v>98.340000000003783</v>
      </c>
      <c r="K475" s="7">
        <f>(H475/H474)-100%</f>
        <v>2.4646431229842225E-3</v>
      </c>
      <c r="L475" s="83"/>
      <c r="M475" s="11"/>
      <c r="N475" s="5" t="s">
        <v>299</v>
      </c>
      <c r="O475" s="5" t="s">
        <v>305</v>
      </c>
    </row>
    <row r="476" spans="1:15" x14ac:dyDescent="0.35">
      <c r="A476" s="5">
        <v>1</v>
      </c>
      <c r="B476" s="139" t="s">
        <v>385</v>
      </c>
      <c r="C476" s="16" t="e" vm="11">
        <v>#VALUE!</v>
      </c>
      <c r="D476" s="16" t="e" vm="11">
        <v>#VALUE!</v>
      </c>
      <c r="E476" s="16" cm="1">
        <f t="array" aca="1" ref="E476" ca="1">_FV(D476,"Price")</f>
        <v>396.80220000000003</v>
      </c>
      <c r="F476" s="8">
        <v>418.42</v>
      </c>
      <c r="G476" s="17">
        <v>17</v>
      </c>
      <c r="H476" s="16">
        <f t="shared" ref="H476:H483" si="262">F476*G476</f>
        <v>7113.14</v>
      </c>
      <c r="I476" s="16" t="s">
        <v>5</v>
      </c>
      <c r="J476" s="10"/>
      <c r="K476" s="7"/>
      <c r="L476" s="83"/>
      <c r="M476" s="11"/>
    </row>
    <row r="477" spans="1:15" x14ac:dyDescent="0.35">
      <c r="A477" s="5">
        <v>1</v>
      </c>
      <c r="B477" s="140"/>
      <c r="C477" s="86" t="s">
        <v>37</v>
      </c>
      <c r="D477" s="86" t="str">
        <f t="shared" ref="D477:D479" si="263">C477</f>
        <v>TSLA</v>
      </c>
      <c r="E477" s="86">
        <f ca="1">E476</f>
        <v>396.80220000000003</v>
      </c>
      <c r="F477" s="120">
        <f ca="1">E477</f>
        <v>396.80220000000003</v>
      </c>
      <c r="G477" s="87">
        <f>G476</f>
        <v>17</v>
      </c>
      <c r="H477" s="86">
        <f t="shared" ca="1" si="262"/>
        <v>6745.6374000000005</v>
      </c>
      <c r="I477" s="86"/>
      <c r="J477" s="10">
        <f ca="1">H477-H476</f>
        <v>-367.5025999999998</v>
      </c>
      <c r="K477" s="7">
        <f ca="1">(H477/H476)-100%</f>
        <v>-5.1665312365565708E-2</v>
      </c>
      <c r="L477" s="83">
        <v>45940</v>
      </c>
      <c r="M477" s="11"/>
      <c r="N477" s="5" t="s">
        <v>302</v>
      </c>
    </row>
    <row r="478" spans="1:15" x14ac:dyDescent="0.35">
      <c r="B478" s="139" t="s">
        <v>32</v>
      </c>
      <c r="C478" s="63" t="e" vm="25">
        <v>#VALUE!</v>
      </c>
      <c r="D478" s="63" t="e" vm="25">
        <f t="shared" si="263"/>
        <v>#VALUE!</v>
      </c>
      <c r="E478" s="63" cm="1">
        <f t="array" aca="1" ref="E478" ca="1">_FV(D478,"Price")</f>
        <v>177.64</v>
      </c>
      <c r="F478" s="63">
        <v>180.73</v>
      </c>
      <c r="G478" s="64">
        <v>28</v>
      </c>
      <c r="H478" s="63">
        <f t="shared" si="262"/>
        <v>5060.4399999999996</v>
      </c>
      <c r="I478" s="63" t="s">
        <v>5</v>
      </c>
      <c r="J478" s="10"/>
      <c r="K478" s="7"/>
      <c r="L478" s="83"/>
      <c r="M478" s="11"/>
    </row>
    <row r="479" spans="1:15" x14ac:dyDescent="0.35">
      <c r="B479" s="140"/>
      <c r="C479" s="63" t="s">
        <v>101</v>
      </c>
      <c r="D479" s="63" t="str">
        <f t="shared" si="263"/>
        <v>NVDA</v>
      </c>
      <c r="E479" s="63">
        <f ca="1">E478</f>
        <v>177.64</v>
      </c>
      <c r="F479" s="63">
        <v>190.24</v>
      </c>
      <c r="G479" s="64">
        <f>G478</f>
        <v>28</v>
      </c>
      <c r="H479" s="63">
        <f t="shared" si="262"/>
        <v>5326.72</v>
      </c>
      <c r="I479" s="63"/>
      <c r="J479" s="10">
        <f>H479-H478</f>
        <v>266.28000000000065</v>
      </c>
      <c r="K479" s="7">
        <f>(H479/H478)-100%</f>
        <v>5.2619930282742367E-2</v>
      </c>
      <c r="L479" s="83"/>
      <c r="M479" s="11"/>
      <c r="N479" s="5" t="s">
        <v>304</v>
      </c>
      <c r="O479" s="5" t="s">
        <v>372</v>
      </c>
    </row>
    <row r="480" spans="1:15" x14ac:dyDescent="0.35">
      <c r="A480" s="5">
        <v>1</v>
      </c>
      <c r="B480" s="150" t="s">
        <v>308</v>
      </c>
      <c r="C480" s="13" t="e" vm="43">
        <v>#VALUE!</v>
      </c>
      <c r="D480" s="13" t="e" vm="43">
        <f>C480</f>
        <v>#VALUE!</v>
      </c>
      <c r="E480" s="13" cm="1">
        <f t="array" aca="1" ref="E480" ca="1">_FV(D480,"Price")</f>
        <v>3.9750000000000001</v>
      </c>
      <c r="F480" s="13">
        <v>5.86</v>
      </c>
      <c r="G480" s="14">
        <v>35</v>
      </c>
      <c r="H480" s="13">
        <f t="shared" si="262"/>
        <v>205.10000000000002</v>
      </c>
      <c r="I480" s="13" t="s">
        <v>5</v>
      </c>
      <c r="J480" s="10"/>
      <c r="K480" s="7"/>
      <c r="L480" s="83"/>
      <c r="M480" s="11"/>
    </row>
    <row r="481" spans="1:15" x14ac:dyDescent="0.35">
      <c r="A481" s="5">
        <v>1</v>
      </c>
      <c r="B481" s="149"/>
      <c r="C481" s="13" t="s">
        <v>268</v>
      </c>
      <c r="D481" s="13" t="str">
        <f t="shared" ref="D481" si="264">C481</f>
        <v>GRAB</v>
      </c>
      <c r="E481" s="13">
        <f ca="1">E480</f>
        <v>3.9750000000000001</v>
      </c>
      <c r="F481" s="13">
        <f ca="1">E481</f>
        <v>3.9750000000000001</v>
      </c>
      <c r="G481" s="14">
        <f>G480</f>
        <v>35</v>
      </c>
      <c r="H481" s="13">
        <f t="shared" ca="1" si="262"/>
        <v>139.125</v>
      </c>
      <c r="I481" s="13"/>
      <c r="J481" s="10">
        <f ca="1">H481-H480</f>
        <v>-65.975000000000023</v>
      </c>
      <c r="K481" s="7">
        <f ca="1">(H481/H480)-100%</f>
        <v>-0.32167235494880553</v>
      </c>
      <c r="L481" s="83">
        <v>45946</v>
      </c>
      <c r="M481" s="11"/>
      <c r="N481" s="5" t="s">
        <v>307</v>
      </c>
    </row>
    <row r="482" spans="1:15" x14ac:dyDescent="0.35">
      <c r="A482" s="5">
        <v>1</v>
      </c>
      <c r="B482" s="151" t="s">
        <v>382</v>
      </c>
      <c r="C482" s="13" t="e" vm="43">
        <v>#VALUE!</v>
      </c>
      <c r="D482" s="13" t="e" vm="43">
        <f>C482</f>
        <v>#VALUE!</v>
      </c>
      <c r="E482" s="13" cm="1">
        <f t="array" aca="1" ref="E482" ca="1">_FV(D482,"Price")</f>
        <v>3.9750000000000001</v>
      </c>
      <c r="F482" s="13">
        <v>5.73</v>
      </c>
      <c r="G482" s="14">
        <v>41</v>
      </c>
      <c r="H482" s="13">
        <f t="shared" si="262"/>
        <v>234.93</v>
      </c>
      <c r="I482" s="13" t="s">
        <v>5</v>
      </c>
      <c r="J482" s="10"/>
      <c r="K482" s="7"/>
      <c r="L482" s="83"/>
      <c r="M482" s="11"/>
    </row>
    <row r="483" spans="1:15" x14ac:dyDescent="0.35">
      <c r="A483" s="5">
        <v>1</v>
      </c>
      <c r="B483" s="152"/>
      <c r="C483" s="13" t="s">
        <v>268</v>
      </c>
      <c r="D483" s="13" t="str">
        <f t="shared" ref="D483" si="265">C483</f>
        <v>GRAB</v>
      </c>
      <c r="E483" s="13">
        <f ca="1">E482</f>
        <v>3.9750000000000001</v>
      </c>
      <c r="F483" s="13">
        <f ca="1">E483</f>
        <v>3.9750000000000001</v>
      </c>
      <c r="G483" s="14">
        <f>G482</f>
        <v>41</v>
      </c>
      <c r="H483" s="13">
        <f t="shared" ca="1" si="262"/>
        <v>162.97499999999999</v>
      </c>
      <c r="I483" s="13"/>
      <c r="J483" s="10">
        <f ca="1">H483-H482</f>
        <v>-71.955000000000013</v>
      </c>
      <c r="K483" s="7">
        <f ca="1">(H483/H482)-100%</f>
        <v>-0.30628272251308908</v>
      </c>
      <c r="L483" s="83">
        <v>45946</v>
      </c>
      <c r="M483" s="11"/>
      <c r="N483" s="5" t="s">
        <v>307</v>
      </c>
    </row>
    <row r="484" spans="1:15" x14ac:dyDescent="0.35">
      <c r="B484" s="155" t="s">
        <v>90</v>
      </c>
      <c r="C484" s="52" t="e" vm="44">
        <v>#VALUE!</v>
      </c>
      <c r="D484" s="52" t="e" vm="44">
        <f>C484</f>
        <v>#VALUE!</v>
      </c>
      <c r="E484" s="52" cm="1">
        <f t="array" aca="1" ref="E484" ca="1">_FV(D484,"Price")</f>
        <v>157.245</v>
      </c>
      <c r="F484" s="52">
        <v>179</v>
      </c>
      <c r="G484" s="54">
        <v>22</v>
      </c>
      <c r="H484" s="52">
        <f t="shared" ref="H484:H491" si="266">F484*G484</f>
        <v>3938</v>
      </c>
      <c r="I484" s="52" t="s">
        <v>5</v>
      </c>
      <c r="J484" s="10"/>
      <c r="K484" s="7"/>
      <c r="L484" s="83"/>
      <c r="M484" s="11"/>
    </row>
    <row r="485" spans="1:15" x14ac:dyDescent="0.35">
      <c r="B485" s="155"/>
      <c r="C485" s="52" t="s">
        <v>309</v>
      </c>
      <c r="D485" s="52" t="str">
        <f t="shared" ref="D485:D491" si="267">C485</f>
        <v>PLTR</v>
      </c>
      <c r="E485" s="52">
        <f ca="1">E484</f>
        <v>157.245</v>
      </c>
      <c r="F485" s="52">
        <v>181</v>
      </c>
      <c r="G485" s="54">
        <f>G484</f>
        <v>22</v>
      </c>
      <c r="H485" s="52">
        <f t="shared" si="266"/>
        <v>3982</v>
      </c>
      <c r="I485" s="52"/>
      <c r="J485" s="10">
        <f>H485-H484</f>
        <v>44</v>
      </c>
      <c r="K485" s="7">
        <f>(H485/H484)-100%</f>
        <v>1.1173184357541999E-2</v>
      </c>
      <c r="L485" s="83"/>
      <c r="M485" s="11"/>
      <c r="N485" s="5" t="s">
        <v>310</v>
      </c>
      <c r="O485" s="5" t="s">
        <v>314</v>
      </c>
    </row>
    <row r="486" spans="1:15" x14ac:dyDescent="0.35">
      <c r="A486" s="5">
        <v>1</v>
      </c>
      <c r="B486" s="148" t="s">
        <v>383</v>
      </c>
      <c r="C486" s="16" t="e" vm="25">
        <v>#VALUE!</v>
      </c>
      <c r="D486" s="16" t="e" vm="25">
        <f t="shared" si="267"/>
        <v>#VALUE!</v>
      </c>
      <c r="E486" s="16" cm="1">
        <f t="array" aca="1" ref="E486" ca="1">_FV(D486,"Price")</f>
        <v>177.64</v>
      </c>
      <c r="F486" s="16">
        <v>175.72</v>
      </c>
      <c r="G486" s="17">
        <v>15</v>
      </c>
      <c r="H486" s="16">
        <f t="shared" si="266"/>
        <v>2635.8</v>
      </c>
      <c r="I486" s="16" t="s">
        <v>5</v>
      </c>
      <c r="J486" s="10"/>
      <c r="K486" s="7"/>
      <c r="L486" s="83"/>
      <c r="M486" s="11"/>
    </row>
    <row r="487" spans="1:15" x14ac:dyDescent="0.35">
      <c r="A487" s="5">
        <v>1</v>
      </c>
      <c r="B487" s="149"/>
      <c r="C487" s="16" t="s">
        <v>101</v>
      </c>
      <c r="D487" s="16" t="str">
        <f t="shared" si="267"/>
        <v>NVDA</v>
      </c>
      <c r="E487" s="16">
        <f ca="1">E486</f>
        <v>177.64</v>
      </c>
      <c r="F487" s="16">
        <f ca="1">E487</f>
        <v>177.64</v>
      </c>
      <c r="G487" s="17">
        <f>G486</f>
        <v>15</v>
      </c>
      <c r="H487" s="16">
        <f t="shared" ca="1" si="266"/>
        <v>2664.6</v>
      </c>
      <c r="I487" s="16"/>
      <c r="J487" s="10">
        <f ca="1">H487-H486</f>
        <v>28.799999999999727</v>
      </c>
      <c r="K487" s="7">
        <f ca="1">(H487/H486)-100%</f>
        <v>1.0926473935806813E-2</v>
      </c>
      <c r="L487" s="83">
        <v>45926</v>
      </c>
      <c r="M487" s="11"/>
      <c r="N487" s="5" t="s">
        <v>292</v>
      </c>
      <c r="O487" s="5" t="s">
        <v>388</v>
      </c>
    </row>
    <row r="488" spans="1:15" x14ac:dyDescent="0.35">
      <c r="A488" s="5">
        <v>1</v>
      </c>
      <c r="B488" s="139" t="s">
        <v>385</v>
      </c>
      <c r="C488" s="81" t="e" vm="25">
        <v>#VALUE!</v>
      </c>
      <c r="D488" s="81" t="e" vm="25">
        <f t="shared" ref="D488:D489" si="268">C488</f>
        <v>#VALUE!</v>
      </c>
      <c r="E488" s="81" cm="1">
        <f t="array" aca="1" ref="E488" ca="1">_FV(D488,"Price")</f>
        <v>177.64</v>
      </c>
      <c r="F488" s="81">
        <v>175.72</v>
      </c>
      <c r="G488" s="82">
        <v>16</v>
      </c>
      <c r="H488" s="81">
        <f t="shared" ref="H488:H489" si="269">F488*G488</f>
        <v>2811.52</v>
      </c>
      <c r="I488" s="81" t="s">
        <v>5</v>
      </c>
      <c r="J488" s="10"/>
      <c r="K488" s="7"/>
      <c r="L488" s="83"/>
      <c r="M488" s="11"/>
    </row>
    <row r="489" spans="1:15" x14ac:dyDescent="0.35">
      <c r="A489" s="5">
        <v>1</v>
      </c>
      <c r="B489" s="140"/>
      <c r="C489" s="81" t="s">
        <v>101</v>
      </c>
      <c r="D489" s="81" t="str">
        <f t="shared" si="268"/>
        <v>NVDA</v>
      </c>
      <c r="E489" s="81">
        <f ca="1">E488</f>
        <v>177.64</v>
      </c>
      <c r="F489" s="81">
        <f ca="1">E489</f>
        <v>177.64</v>
      </c>
      <c r="G489" s="82">
        <f>G488</f>
        <v>16</v>
      </c>
      <c r="H489" s="81">
        <f t="shared" ca="1" si="269"/>
        <v>2842.24</v>
      </c>
      <c r="I489" s="81"/>
      <c r="J489" s="10">
        <f ca="1">H489-H488</f>
        <v>30.7199999999998</v>
      </c>
      <c r="K489" s="7">
        <f ca="1">(H489/H488)-100%</f>
        <v>1.0926473935806813E-2</v>
      </c>
      <c r="L489" s="83">
        <v>45926</v>
      </c>
      <c r="M489" s="11"/>
      <c r="N489" s="5" t="s">
        <v>292</v>
      </c>
      <c r="O489" s="5" t="s">
        <v>388</v>
      </c>
    </row>
    <row r="490" spans="1:15" x14ac:dyDescent="0.35">
      <c r="B490" s="139" t="s">
        <v>32</v>
      </c>
      <c r="C490" s="95" t="e" vm="45">
        <v>#VALUE!</v>
      </c>
      <c r="D490" s="95" t="e" vm="45">
        <f t="shared" si="267"/>
        <v>#VALUE!</v>
      </c>
      <c r="E490" s="95" cm="1">
        <f t="array" aca="1" ref="E490" ca="1">_FV(D490,"Price")</f>
        <v>99.015000000000001</v>
      </c>
      <c r="F490" s="95">
        <v>1241.6500000000001</v>
      </c>
      <c r="G490" s="96">
        <v>4</v>
      </c>
      <c r="H490" s="95">
        <f t="shared" si="266"/>
        <v>4966.6000000000004</v>
      </c>
      <c r="I490" s="95" t="s">
        <v>5</v>
      </c>
      <c r="J490" s="10"/>
      <c r="K490" s="7"/>
      <c r="L490" s="128"/>
      <c r="M490" s="11"/>
    </row>
    <row r="491" spans="1:15" x14ac:dyDescent="0.35">
      <c r="B491" s="140"/>
      <c r="C491" s="108" t="s">
        <v>311</v>
      </c>
      <c r="D491" s="95" t="str">
        <f t="shared" si="267"/>
        <v>NETFLIX</v>
      </c>
      <c r="E491" s="95">
        <f ca="1">E490</f>
        <v>99.015000000000001</v>
      </c>
      <c r="F491" s="95">
        <v>112</v>
      </c>
      <c r="G491" s="96">
        <f>G490</f>
        <v>4</v>
      </c>
      <c r="H491" s="95">
        <f t="shared" si="266"/>
        <v>448</v>
      </c>
      <c r="I491" s="95"/>
      <c r="J491" s="10">
        <f>H491-H490</f>
        <v>-4518.6000000000004</v>
      </c>
      <c r="K491" s="7">
        <f>(H491/H490)-100%</f>
        <v>-0.90979744694559661</v>
      </c>
      <c r="L491" s="128"/>
      <c r="M491" s="11"/>
      <c r="N491" s="5" t="s">
        <v>310</v>
      </c>
      <c r="O491" s="5" t="s">
        <v>333</v>
      </c>
    </row>
    <row r="492" spans="1:15" x14ac:dyDescent="0.35">
      <c r="A492" s="5">
        <v>1</v>
      </c>
      <c r="B492" s="150" t="s">
        <v>308</v>
      </c>
      <c r="C492" s="81" t="e" vm="46">
        <v>#VALUE!</v>
      </c>
      <c r="D492" s="81" t="e" vm="46">
        <f t="shared" ref="D492:D493" si="270">C492</f>
        <v>#VALUE!</v>
      </c>
      <c r="E492" s="81" cm="1">
        <f t="array" aca="1" ref="E492" ca="1">_FV(D492,"Price")</f>
        <v>0.78500000000000003</v>
      </c>
      <c r="F492" s="81">
        <v>6.19</v>
      </c>
      <c r="G492" s="82">
        <v>20</v>
      </c>
      <c r="H492" s="81">
        <f t="shared" ref="H492:H493" si="271">F492*G492</f>
        <v>123.80000000000001</v>
      </c>
      <c r="I492" s="81" t="s">
        <v>5</v>
      </c>
      <c r="J492" s="10"/>
      <c r="K492" s="7"/>
      <c r="L492" s="128"/>
      <c r="M492" s="11"/>
    </row>
    <row r="493" spans="1:15" x14ac:dyDescent="0.35">
      <c r="A493" s="5">
        <v>1</v>
      </c>
      <c r="B493" s="149"/>
      <c r="C493" s="105" t="s">
        <v>312</v>
      </c>
      <c r="D493" s="81" t="str">
        <f t="shared" si="270"/>
        <v>Beyond Meat</v>
      </c>
      <c r="E493" s="81">
        <f ca="1">E492</f>
        <v>0.78500000000000003</v>
      </c>
      <c r="F493" s="81">
        <f ca="1">E493</f>
        <v>0.78500000000000003</v>
      </c>
      <c r="G493" s="82">
        <f>G492</f>
        <v>20</v>
      </c>
      <c r="H493" s="81">
        <f t="shared" ca="1" si="271"/>
        <v>15.700000000000001</v>
      </c>
      <c r="I493" s="81"/>
      <c r="J493" s="10">
        <f ca="1">H493-H492</f>
        <v>-108.10000000000001</v>
      </c>
      <c r="K493" s="7">
        <f ca="1">(H493/H492)-100%</f>
        <v>-0.87318255250403876</v>
      </c>
      <c r="L493" s="128"/>
      <c r="M493" s="11"/>
      <c r="N493" s="5" t="s">
        <v>313</v>
      </c>
    </row>
    <row r="494" spans="1:15" x14ac:dyDescent="0.35">
      <c r="A494" s="5">
        <v>1</v>
      </c>
      <c r="B494" s="150" t="s">
        <v>308</v>
      </c>
      <c r="C494" s="81" t="e" vm="46">
        <v>#VALUE!</v>
      </c>
      <c r="D494" s="81" t="e" vm="46">
        <f t="shared" ref="D494:D495" si="272">C494</f>
        <v>#VALUE!</v>
      </c>
      <c r="E494" s="81" cm="1">
        <f t="array" aca="1" ref="E494" ca="1">_FV(D494,"Price")</f>
        <v>0.78500000000000003</v>
      </c>
      <c r="F494" s="81">
        <v>5.9</v>
      </c>
      <c r="G494" s="82">
        <v>60</v>
      </c>
      <c r="H494" s="81">
        <f t="shared" ref="H494:H499" si="273">F494*G494</f>
        <v>354</v>
      </c>
      <c r="I494" s="81" t="s">
        <v>5</v>
      </c>
      <c r="J494" s="10"/>
      <c r="K494" s="7"/>
      <c r="L494" s="128"/>
      <c r="M494" s="11"/>
    </row>
    <row r="495" spans="1:15" x14ac:dyDescent="0.35">
      <c r="A495" s="5">
        <v>1</v>
      </c>
      <c r="B495" s="149"/>
      <c r="C495" s="105" t="s">
        <v>312</v>
      </c>
      <c r="D495" s="81" t="str">
        <f t="shared" si="272"/>
        <v>Beyond Meat</v>
      </c>
      <c r="E495" s="81">
        <f ca="1">E494</f>
        <v>0.78500000000000003</v>
      </c>
      <c r="F495" s="81">
        <f ca="1">E495</f>
        <v>0.78500000000000003</v>
      </c>
      <c r="G495" s="82">
        <f>G494</f>
        <v>60</v>
      </c>
      <c r="H495" s="81">
        <f t="shared" ca="1" si="273"/>
        <v>47.1</v>
      </c>
      <c r="I495" s="81"/>
      <c r="J495" s="10">
        <f ca="1">H495-H494</f>
        <v>-306.89999999999998</v>
      </c>
      <c r="K495" s="7">
        <f ca="1">(H495/H494)-100%</f>
        <v>-0.86694915254237293</v>
      </c>
      <c r="L495" s="128"/>
      <c r="M495" s="11"/>
      <c r="N495" s="5" t="s">
        <v>313</v>
      </c>
    </row>
    <row r="496" spans="1:15" x14ac:dyDescent="0.35">
      <c r="B496" s="143" t="s">
        <v>32</v>
      </c>
      <c r="C496" s="52" t="e" vm="44">
        <v>#VALUE!</v>
      </c>
      <c r="D496" s="52" t="e" vm="44">
        <f>C496</f>
        <v>#VALUE!</v>
      </c>
      <c r="E496" s="52" cm="1">
        <f t="array" aca="1" ref="E496" ca="1">_FV(D496,"Price")</f>
        <v>157.245</v>
      </c>
      <c r="F496" s="52">
        <v>179.59</v>
      </c>
      <c r="G496" s="54">
        <v>27</v>
      </c>
      <c r="H496" s="52">
        <f t="shared" si="273"/>
        <v>4848.93</v>
      </c>
      <c r="I496" s="52" t="s">
        <v>5</v>
      </c>
      <c r="J496" s="10"/>
      <c r="K496" s="7"/>
      <c r="L496" s="128"/>
      <c r="M496" s="11"/>
    </row>
    <row r="497" spans="1:15" x14ac:dyDescent="0.35">
      <c r="B497" s="143"/>
      <c r="C497" s="52" t="s">
        <v>309</v>
      </c>
      <c r="D497" s="52" t="str">
        <f t="shared" ref="D497" si="274">C497</f>
        <v>PLTR</v>
      </c>
      <c r="E497" s="52">
        <f ca="1">E496</f>
        <v>157.245</v>
      </c>
      <c r="F497" s="52">
        <v>181</v>
      </c>
      <c r="G497" s="54">
        <f>G496</f>
        <v>27</v>
      </c>
      <c r="H497" s="52">
        <f t="shared" si="273"/>
        <v>4887</v>
      </c>
      <c r="I497" s="52"/>
      <c r="J497" s="10">
        <f>H497-H496</f>
        <v>38.069999999999709</v>
      </c>
      <c r="K497" s="7">
        <f>(H497/H496)-100%</f>
        <v>7.8512166601703015E-3</v>
      </c>
      <c r="L497" s="128"/>
      <c r="M497" s="11"/>
      <c r="N497" s="5" t="s">
        <v>313</v>
      </c>
      <c r="O497" s="5" t="s">
        <v>314</v>
      </c>
    </row>
    <row r="498" spans="1:15" x14ac:dyDescent="0.35">
      <c r="B498" s="139" t="s">
        <v>32</v>
      </c>
      <c r="C498" s="52" t="e" vm="11">
        <v>#VALUE!</v>
      </c>
      <c r="D498" s="52" t="e" vm="11">
        <v>#VALUE!</v>
      </c>
      <c r="E498" s="52" cm="1">
        <f t="array" aca="1" ref="E498" ca="1">_FV(D498,"Price")</f>
        <v>396.80220000000003</v>
      </c>
      <c r="F498" s="52">
        <v>439</v>
      </c>
      <c r="G498" s="54">
        <v>11</v>
      </c>
      <c r="H498" s="52">
        <f t="shared" si="273"/>
        <v>4829</v>
      </c>
      <c r="I498" s="52" t="s">
        <v>5</v>
      </c>
      <c r="J498" s="10"/>
      <c r="K498" s="7"/>
      <c r="L498" s="128"/>
      <c r="M498" s="11"/>
    </row>
    <row r="499" spans="1:15" x14ac:dyDescent="0.35">
      <c r="B499" s="140"/>
      <c r="C499" s="52" t="s">
        <v>37</v>
      </c>
      <c r="D499" s="52" t="str">
        <f t="shared" ref="D499" si="275">C499</f>
        <v>TSLA</v>
      </c>
      <c r="E499" s="52">
        <f ca="1">E498</f>
        <v>396.80220000000003</v>
      </c>
      <c r="F499" s="52">
        <v>456.7</v>
      </c>
      <c r="G499" s="54">
        <f>G498</f>
        <v>11</v>
      </c>
      <c r="H499" s="52">
        <f t="shared" si="273"/>
        <v>5023.7</v>
      </c>
      <c r="I499" s="52"/>
      <c r="J499" s="10">
        <f>H499-H498</f>
        <v>194.69999999999982</v>
      </c>
      <c r="K499" s="7">
        <f>(H499/H498)-100%</f>
        <v>4.0318906605922411E-2</v>
      </c>
      <c r="L499" s="128"/>
      <c r="M499" s="11"/>
      <c r="N499" s="5" t="s">
        <v>315</v>
      </c>
      <c r="O499" s="5" t="s">
        <v>363</v>
      </c>
    </row>
    <row r="500" spans="1:15" x14ac:dyDescent="0.35">
      <c r="A500" s="5">
        <v>1</v>
      </c>
      <c r="B500" s="139" t="s">
        <v>385</v>
      </c>
      <c r="C500" s="13" t="e" vm="11">
        <v>#VALUE!</v>
      </c>
      <c r="D500" s="13" t="e" vm="11">
        <v>#VALUE!</v>
      </c>
      <c r="E500" s="13" cm="1">
        <f t="array" aca="1" ref="E500" ca="1">_FV(D500,"Price")</f>
        <v>396.80220000000003</v>
      </c>
      <c r="F500" s="13">
        <v>433.31</v>
      </c>
      <c r="G500" s="14">
        <v>5</v>
      </c>
      <c r="H500" s="13">
        <f t="shared" ref="H500:H501" si="276">F500*G500</f>
        <v>2166.5500000000002</v>
      </c>
      <c r="I500" s="13" t="s">
        <v>5</v>
      </c>
      <c r="J500" s="10"/>
      <c r="K500" s="7"/>
      <c r="L500" s="128"/>
      <c r="M500" s="11"/>
    </row>
    <row r="501" spans="1:15" x14ac:dyDescent="0.35">
      <c r="A501" s="5">
        <v>1</v>
      </c>
      <c r="B501" s="140"/>
      <c r="C501" s="13" t="s">
        <v>37</v>
      </c>
      <c r="D501" s="13" t="str">
        <f t="shared" ref="D501" si="277">C501</f>
        <v>TSLA</v>
      </c>
      <c r="E501" s="13">
        <f ca="1">E500</f>
        <v>396.80220000000003</v>
      </c>
      <c r="F501" s="13">
        <f ca="1">E501</f>
        <v>396.80220000000003</v>
      </c>
      <c r="G501" s="14">
        <f>G500</f>
        <v>5</v>
      </c>
      <c r="H501" s="13">
        <f t="shared" ca="1" si="276"/>
        <v>1984.0110000000002</v>
      </c>
      <c r="I501" s="13"/>
      <c r="J501" s="10">
        <f ca="1">H501-H500</f>
        <v>-182.53899999999999</v>
      </c>
      <c r="K501" s="7">
        <f ca="1">(H501/H500)-100%</f>
        <v>-8.425330594724334E-2</v>
      </c>
      <c r="L501" s="83">
        <v>45954</v>
      </c>
      <c r="M501" s="11"/>
      <c r="N501" s="5" t="s">
        <v>315</v>
      </c>
    </row>
    <row r="502" spans="1:15" x14ac:dyDescent="0.35">
      <c r="B502" s="139" t="s">
        <v>32</v>
      </c>
      <c r="C502" s="52" t="e" vm="11">
        <v>#VALUE!</v>
      </c>
      <c r="D502" s="52" t="e" vm="11">
        <v>#VALUE!</v>
      </c>
      <c r="E502" s="52" cm="1">
        <f t="array" aca="1" ref="E502" ca="1">_FV(D502,"Price")</f>
        <v>396.80220000000003</v>
      </c>
      <c r="F502" s="43">
        <v>459.64</v>
      </c>
      <c r="G502" s="54">
        <v>93</v>
      </c>
      <c r="H502" s="52">
        <f t="shared" ref="H502:H509" si="278">F502*G502</f>
        <v>42746.52</v>
      </c>
      <c r="I502" s="52" t="s">
        <v>5</v>
      </c>
      <c r="J502" s="10"/>
      <c r="K502" s="7"/>
      <c r="L502" s="128"/>
      <c r="M502" s="11"/>
    </row>
    <row r="503" spans="1:15" x14ac:dyDescent="0.35">
      <c r="B503" s="140"/>
      <c r="C503" s="52" t="s">
        <v>37</v>
      </c>
      <c r="D503" s="52" t="str">
        <f t="shared" ref="D503" si="279">C503</f>
        <v>TSLA</v>
      </c>
      <c r="E503" s="52">
        <f ca="1">E502</f>
        <v>396.80220000000003</v>
      </c>
      <c r="F503" s="43">
        <v>460</v>
      </c>
      <c r="G503" s="54">
        <f>G502</f>
        <v>93</v>
      </c>
      <c r="H503" s="52">
        <f t="shared" si="278"/>
        <v>42780</v>
      </c>
      <c r="I503" s="52"/>
      <c r="J503" s="10">
        <f>H503-H502</f>
        <v>33.480000000003201</v>
      </c>
      <c r="K503" s="7">
        <f>(H503/H502)-100%</f>
        <v>7.8322165172761693E-4</v>
      </c>
      <c r="L503" s="128"/>
      <c r="M503" s="11"/>
      <c r="N503" s="5" t="s">
        <v>316</v>
      </c>
      <c r="O503" s="5" t="s">
        <v>348</v>
      </c>
    </row>
    <row r="504" spans="1:15" x14ac:dyDescent="0.35">
      <c r="B504" s="154" t="s">
        <v>317</v>
      </c>
      <c r="C504" s="78" t="e" vm="47">
        <v>#VALUE!</v>
      </c>
      <c r="D504" s="53" t="e" vm="47">
        <f>C504</f>
        <v>#VALUE!</v>
      </c>
      <c r="E504" s="52" cm="1">
        <f t="array" aca="1" ref="E504" ca="1">_FV(D504,"Price")</f>
        <v>134.81</v>
      </c>
      <c r="F504" s="52">
        <v>115.97</v>
      </c>
      <c r="G504" s="109">
        <v>21.126149999999999</v>
      </c>
      <c r="H504" s="52">
        <f t="shared" si="278"/>
        <v>2449.9996154999999</v>
      </c>
      <c r="I504" s="52" t="s">
        <v>5</v>
      </c>
      <c r="J504" s="10"/>
      <c r="K504" s="7"/>
      <c r="L504" s="128"/>
      <c r="M504" s="11"/>
    </row>
    <row r="505" spans="1:15" x14ac:dyDescent="0.35">
      <c r="B505" s="154"/>
      <c r="C505" s="78" t="s">
        <v>321</v>
      </c>
      <c r="D505" s="53" t="str">
        <f t="shared" ref="D505" si="280">C505</f>
        <v>CIBC</v>
      </c>
      <c r="E505" s="52">
        <f ca="1">E504</f>
        <v>134.81</v>
      </c>
      <c r="F505" s="52">
        <v>120.18</v>
      </c>
      <c r="G505" s="109">
        <f>G504</f>
        <v>21.126149999999999</v>
      </c>
      <c r="H505" s="52">
        <f t="shared" si="278"/>
        <v>2538.9407070000002</v>
      </c>
      <c r="I505" s="52"/>
      <c r="J505" s="10">
        <f>H505-H504</f>
        <v>88.941091500000311</v>
      </c>
      <c r="K505" s="7">
        <f>(H505/H504)-100%</f>
        <v>3.6302492023799315E-2</v>
      </c>
      <c r="L505" s="128"/>
      <c r="M505" s="11"/>
      <c r="N505" s="5" t="s">
        <v>316</v>
      </c>
      <c r="O505" s="5" t="s">
        <v>340</v>
      </c>
    </row>
    <row r="506" spans="1:15" x14ac:dyDescent="0.35">
      <c r="A506" s="5">
        <v>1</v>
      </c>
      <c r="B506" s="146" t="s">
        <v>381</v>
      </c>
      <c r="C506" s="101" t="e" vm="43">
        <v>#VALUE!</v>
      </c>
      <c r="D506" s="101" t="e" vm="43">
        <f>C506</f>
        <v>#VALUE!</v>
      </c>
      <c r="E506" s="101" cm="1">
        <f t="array" aca="1" ref="E506" ca="1">_FV(D506,"Price")</f>
        <v>3.9750000000000001</v>
      </c>
      <c r="F506" s="101">
        <v>6.06</v>
      </c>
      <c r="G506" s="102">
        <v>1134</v>
      </c>
      <c r="H506" s="101">
        <f t="shared" si="278"/>
        <v>6872.04</v>
      </c>
      <c r="I506" s="101" t="s">
        <v>5</v>
      </c>
      <c r="J506" s="103"/>
      <c r="K506" s="104"/>
      <c r="L506" s="128"/>
      <c r="M506" s="11"/>
    </row>
    <row r="507" spans="1:15" x14ac:dyDescent="0.35">
      <c r="A507" s="5">
        <v>1</v>
      </c>
      <c r="B507" s="147"/>
      <c r="C507" s="101" t="s">
        <v>268</v>
      </c>
      <c r="D507" s="101" t="str">
        <f t="shared" ref="D507" si="281">C507</f>
        <v>GRAB</v>
      </c>
      <c r="E507" s="101">
        <f ca="1">E506</f>
        <v>3.9750000000000001</v>
      </c>
      <c r="F507" s="101">
        <f ca="1">E507</f>
        <v>3.9750000000000001</v>
      </c>
      <c r="G507" s="102">
        <f>G506</f>
        <v>1134</v>
      </c>
      <c r="H507" s="101">
        <f t="shared" ca="1" si="278"/>
        <v>4507.6500000000005</v>
      </c>
      <c r="I507" s="101"/>
      <c r="J507" s="103">
        <f ca="1">H507-H506</f>
        <v>-2364.3899999999994</v>
      </c>
      <c r="K507" s="104">
        <f ca="1">(H507/H506)-100%</f>
        <v>-0.34405940594059403</v>
      </c>
      <c r="L507" s="83">
        <v>45964</v>
      </c>
      <c r="M507" s="11"/>
      <c r="N507" s="5" t="s">
        <v>323</v>
      </c>
    </row>
    <row r="508" spans="1:15" x14ac:dyDescent="0.35">
      <c r="B508" s="153" t="s">
        <v>42</v>
      </c>
      <c r="C508" s="52" t="e" vm="11">
        <v>#VALUE!</v>
      </c>
      <c r="D508" s="52" t="e" vm="11">
        <v>#VALUE!</v>
      </c>
      <c r="E508" s="52" cm="1">
        <f t="array" aca="1" ref="E508" ca="1">_FV(D508,"Price")</f>
        <v>396.80220000000003</v>
      </c>
      <c r="F508" s="52">
        <v>445</v>
      </c>
      <c r="G508" s="54">
        <v>25</v>
      </c>
      <c r="H508" s="52">
        <f t="shared" si="278"/>
        <v>11125</v>
      </c>
      <c r="I508" s="52" t="s">
        <v>5</v>
      </c>
      <c r="J508" s="10"/>
      <c r="K508" s="7"/>
      <c r="L508" s="128"/>
      <c r="M508" s="11"/>
    </row>
    <row r="509" spans="1:15" x14ac:dyDescent="0.35">
      <c r="B509" s="153"/>
      <c r="C509" s="52" t="s">
        <v>37</v>
      </c>
      <c r="D509" s="52" t="str">
        <f t="shared" ref="D509" si="282">C509</f>
        <v>TSLA</v>
      </c>
      <c r="E509" s="52">
        <f ca="1">E508</f>
        <v>396.80220000000003</v>
      </c>
      <c r="F509" s="52">
        <v>446.63</v>
      </c>
      <c r="G509" s="54">
        <f>G508</f>
        <v>25</v>
      </c>
      <c r="H509" s="52">
        <f t="shared" si="278"/>
        <v>11165.75</v>
      </c>
      <c r="I509" s="52"/>
      <c r="J509" s="10">
        <f>H509-H508</f>
        <v>40.75</v>
      </c>
      <c r="K509" s="7">
        <f>(H509/H508)-100%</f>
        <v>3.662921348314585E-3</v>
      </c>
      <c r="L509" s="128"/>
      <c r="M509" s="11"/>
      <c r="N509" s="5" t="s">
        <v>325</v>
      </c>
      <c r="O509" s="5" t="s">
        <v>370</v>
      </c>
    </row>
    <row r="510" spans="1:15" x14ac:dyDescent="0.35">
      <c r="A510" s="5">
        <v>1</v>
      </c>
      <c r="B510" s="141" t="s">
        <v>382</v>
      </c>
      <c r="C510" s="16" t="e" vm="11">
        <v>#VALUE!</v>
      </c>
      <c r="D510" s="16" t="e" vm="11">
        <v>#VALUE!</v>
      </c>
      <c r="E510" s="16" cm="1">
        <f t="array" aca="1" ref="E510" ca="1">_FV(D510,"Price")</f>
        <v>396.80220000000003</v>
      </c>
      <c r="F510" s="16">
        <v>441.8</v>
      </c>
      <c r="G510" s="17">
        <v>10</v>
      </c>
      <c r="H510" s="16">
        <f t="shared" ref="H510:H511" si="283">F510*G510</f>
        <v>4418</v>
      </c>
      <c r="I510" s="16" t="s">
        <v>5</v>
      </c>
      <c r="J510" s="10"/>
      <c r="K510" s="7"/>
      <c r="L510" s="83"/>
      <c r="M510" s="11"/>
    </row>
    <row r="511" spans="1:15" x14ac:dyDescent="0.35">
      <c r="A511" s="5">
        <v>1</v>
      </c>
      <c r="B511" s="142"/>
      <c r="C511" s="86" t="s">
        <v>37</v>
      </c>
      <c r="D511" s="86" t="str">
        <f t="shared" ref="D511" si="284">C511</f>
        <v>TSLA</v>
      </c>
      <c r="E511" s="86">
        <f ca="1">E510</f>
        <v>396.80220000000003</v>
      </c>
      <c r="F511" s="86">
        <f ca="1">E511</f>
        <v>396.80220000000003</v>
      </c>
      <c r="G511" s="87">
        <f>G510</f>
        <v>10</v>
      </c>
      <c r="H511" s="86">
        <f t="shared" ca="1" si="283"/>
        <v>3968.0220000000004</v>
      </c>
      <c r="I511" s="86"/>
      <c r="J511" s="10">
        <f ca="1">H511-H510</f>
        <v>-449.97799999999961</v>
      </c>
      <c r="K511" s="7">
        <f ca="1">(H511/H510)-100%</f>
        <v>-0.10185106382978715</v>
      </c>
      <c r="L511" s="83">
        <v>45967</v>
      </c>
      <c r="M511" s="11"/>
      <c r="N511" s="5" t="s">
        <v>326</v>
      </c>
    </row>
    <row r="512" spans="1:15" x14ac:dyDescent="0.35">
      <c r="B512" s="153" t="s">
        <v>42</v>
      </c>
      <c r="C512" s="63" t="e" vm="11">
        <v>#VALUE!</v>
      </c>
      <c r="D512" s="63" t="e" vm="11">
        <v>#VALUE!</v>
      </c>
      <c r="E512" s="63" cm="1">
        <f t="array" aca="1" ref="E512" ca="1">_FV(D512,"Price")</f>
        <v>396.80220000000003</v>
      </c>
      <c r="F512" s="43">
        <v>425.15</v>
      </c>
      <c r="G512" s="64">
        <v>10</v>
      </c>
      <c r="H512" s="63">
        <f t="shared" ref="H512:H513" si="285">F512*G512</f>
        <v>4251.5</v>
      </c>
      <c r="I512" s="63" t="s">
        <v>5</v>
      </c>
      <c r="J512" s="10"/>
      <c r="K512" s="7"/>
      <c r="L512" s="128"/>
      <c r="M512" s="11"/>
    </row>
    <row r="513" spans="1:15" x14ac:dyDescent="0.35">
      <c r="B513" s="153"/>
      <c r="C513" s="90" t="s">
        <v>37</v>
      </c>
      <c r="D513" s="90" t="str">
        <f t="shared" ref="D513" si="286">C513</f>
        <v>TSLA</v>
      </c>
      <c r="E513" s="90">
        <f ca="1">E512</f>
        <v>396.80220000000003</v>
      </c>
      <c r="F513" s="113">
        <v>426</v>
      </c>
      <c r="G513" s="91">
        <f>G512</f>
        <v>10</v>
      </c>
      <c r="H513" s="90">
        <f t="shared" si="285"/>
        <v>4260</v>
      </c>
      <c r="I513" s="90"/>
      <c r="J513" s="10">
        <f>H513-H512</f>
        <v>8.5</v>
      </c>
      <c r="K513" s="7">
        <f>(H513/H512)-100%</f>
        <v>1.9992943666942153E-3</v>
      </c>
      <c r="L513" s="128"/>
      <c r="M513" s="11"/>
      <c r="N513" s="5" t="s">
        <v>327</v>
      </c>
      <c r="O513" s="5" t="s">
        <v>343</v>
      </c>
    </row>
    <row r="514" spans="1:15" x14ac:dyDescent="0.35">
      <c r="B514" s="153" t="s">
        <v>42</v>
      </c>
      <c r="C514" s="63" t="e" vm="11">
        <v>#VALUE!</v>
      </c>
      <c r="D514" s="63" t="e" vm="11">
        <v>#VALUE!</v>
      </c>
      <c r="E514" s="63" cm="1">
        <f t="array" aca="1" ref="E514" ca="1">_FV(D514,"Price")</f>
        <v>396.80220000000003</v>
      </c>
      <c r="F514" s="63">
        <v>430.98</v>
      </c>
      <c r="G514" s="64">
        <v>16</v>
      </c>
      <c r="H514" s="63">
        <f t="shared" ref="H514:H521" si="287">F514*G514</f>
        <v>6895.68</v>
      </c>
      <c r="I514" s="63" t="s">
        <v>5</v>
      </c>
      <c r="J514" s="10"/>
      <c r="K514" s="7"/>
      <c r="L514" s="128"/>
      <c r="M514" s="11"/>
    </row>
    <row r="515" spans="1:15" x14ac:dyDescent="0.35">
      <c r="B515" s="153"/>
      <c r="C515" s="90" t="s">
        <v>37</v>
      </c>
      <c r="D515" s="90" t="str">
        <f t="shared" ref="D515" si="288">C515</f>
        <v>TSLA</v>
      </c>
      <c r="E515" s="90">
        <f ca="1">E514</f>
        <v>396.80220000000003</v>
      </c>
      <c r="F515" s="90">
        <v>435.81</v>
      </c>
      <c r="G515" s="91">
        <f>G514</f>
        <v>16</v>
      </c>
      <c r="H515" s="90">
        <f t="shared" si="287"/>
        <v>6972.96</v>
      </c>
      <c r="I515" s="90"/>
      <c r="J515" s="10">
        <f>H515-H514</f>
        <v>77.279999999999745</v>
      </c>
      <c r="K515" s="7">
        <f>(H515/H514)-100%</f>
        <v>1.1207016566894046E-2</v>
      </c>
      <c r="L515" s="128"/>
      <c r="M515" s="11"/>
      <c r="N515" s="5" t="s">
        <v>328</v>
      </c>
      <c r="O515" s="5" t="s">
        <v>344</v>
      </c>
    </row>
    <row r="516" spans="1:15" x14ac:dyDescent="0.35">
      <c r="B516" s="135" t="s">
        <v>35</v>
      </c>
      <c r="C516" s="52" t="e" vm="11">
        <v>#VALUE!</v>
      </c>
      <c r="D516" s="52" t="e" vm="11">
        <v>#VALUE!</v>
      </c>
      <c r="E516" s="52" cm="1">
        <f t="array" aca="1" ref="E516" ca="1">_FV(D516,"Price")</f>
        <v>396.80220000000003</v>
      </c>
      <c r="F516" s="52">
        <v>414.85</v>
      </c>
      <c r="G516" s="54">
        <v>12</v>
      </c>
      <c r="H516" s="52">
        <f t="shared" si="287"/>
        <v>4978.2000000000007</v>
      </c>
      <c r="I516" s="52" t="s">
        <v>5</v>
      </c>
      <c r="J516" s="10"/>
      <c r="K516" s="7"/>
      <c r="L516" s="128"/>
      <c r="M516" s="11"/>
    </row>
    <row r="517" spans="1:15" x14ac:dyDescent="0.35">
      <c r="B517" s="136"/>
      <c r="C517" s="52" t="s">
        <v>37</v>
      </c>
      <c r="D517" s="52" t="str">
        <f t="shared" ref="D517" si="289">C517</f>
        <v>TSLA</v>
      </c>
      <c r="E517" s="52">
        <f ca="1">E516</f>
        <v>396.80220000000003</v>
      </c>
      <c r="F517" s="52">
        <v>413.81</v>
      </c>
      <c r="G517" s="54">
        <f>G516</f>
        <v>12</v>
      </c>
      <c r="H517" s="52">
        <f t="shared" si="287"/>
        <v>4965.72</v>
      </c>
      <c r="I517" s="52"/>
      <c r="J517" s="10">
        <f>H517-H516</f>
        <v>-12.480000000000473</v>
      </c>
      <c r="K517" s="7">
        <f>(H517/H516)-100%</f>
        <v>-2.5069302157407769E-3</v>
      </c>
      <c r="L517" s="128"/>
      <c r="M517" s="11"/>
      <c r="N517" s="5" t="s">
        <v>329</v>
      </c>
      <c r="O517" s="5" t="s">
        <v>330</v>
      </c>
    </row>
    <row r="518" spans="1:15" x14ac:dyDescent="0.35">
      <c r="A518" s="5">
        <v>1</v>
      </c>
      <c r="B518" s="139" t="s">
        <v>385</v>
      </c>
      <c r="C518" s="13" t="e" vm="11">
        <v>#VALUE!</v>
      </c>
      <c r="D518" s="13" t="e" vm="11">
        <v>#VALUE!</v>
      </c>
      <c r="E518" s="13" cm="1">
        <f t="array" aca="1" ref="E518" ca="1">_FV(D518,"Price")</f>
        <v>396.80220000000003</v>
      </c>
      <c r="F518" s="13">
        <v>401.93</v>
      </c>
      <c r="G518" s="14">
        <v>2</v>
      </c>
      <c r="H518" s="13">
        <f t="shared" si="287"/>
        <v>803.86</v>
      </c>
      <c r="I518" s="13" t="s">
        <v>5</v>
      </c>
      <c r="J518" s="10"/>
      <c r="K518" s="7"/>
      <c r="L518" s="83"/>
      <c r="M518" s="11"/>
    </row>
    <row r="519" spans="1:15" x14ac:dyDescent="0.35">
      <c r="A519" s="5">
        <v>1</v>
      </c>
      <c r="B519" s="140"/>
      <c r="C519" s="13" t="s">
        <v>37</v>
      </c>
      <c r="D519" s="13" t="str">
        <f t="shared" ref="D519" si="290">C519</f>
        <v>TSLA</v>
      </c>
      <c r="E519" s="13">
        <f ca="1">E518</f>
        <v>396.80220000000003</v>
      </c>
      <c r="F519" s="13">
        <f ca="1">E519</f>
        <v>396.80220000000003</v>
      </c>
      <c r="G519" s="14">
        <f>G518</f>
        <v>2</v>
      </c>
      <c r="H519" s="13">
        <f t="shared" ca="1" si="287"/>
        <v>793.60440000000006</v>
      </c>
      <c r="I519" s="13"/>
      <c r="J519" s="10">
        <f ca="1">H519-H518</f>
        <v>-10.255599999999959</v>
      </c>
      <c r="K519" s="7">
        <f ca="1">(H519/H518)-100%</f>
        <v>-1.2757942925385013E-2</v>
      </c>
      <c r="L519" s="83">
        <v>45974</v>
      </c>
      <c r="M519" s="11"/>
      <c r="N519" s="5" t="s">
        <v>329</v>
      </c>
    </row>
    <row r="520" spans="1:15" x14ac:dyDescent="0.35">
      <c r="A520" s="5">
        <v>1</v>
      </c>
      <c r="B520" s="148" t="s">
        <v>383</v>
      </c>
      <c r="C520" s="101" t="e" vm="43">
        <v>#VALUE!</v>
      </c>
      <c r="D520" s="101" t="e" vm="43">
        <f>C520</f>
        <v>#VALUE!</v>
      </c>
      <c r="E520" s="101" cm="1">
        <f t="array" aca="1" ref="E520" ca="1">_FV(D520,"Price")</f>
        <v>3.9750000000000001</v>
      </c>
      <c r="F520" s="101">
        <v>5.42</v>
      </c>
      <c r="G520" s="102">
        <v>27</v>
      </c>
      <c r="H520" s="101">
        <f t="shared" si="287"/>
        <v>146.34</v>
      </c>
      <c r="I520" s="101" t="s">
        <v>5</v>
      </c>
      <c r="J520" s="103"/>
      <c r="K520" s="104"/>
      <c r="L520" s="128"/>
      <c r="M520" s="11"/>
    </row>
    <row r="521" spans="1:15" x14ac:dyDescent="0.35">
      <c r="A521" s="5">
        <v>1</v>
      </c>
      <c r="B521" s="149"/>
      <c r="C521" s="101" t="s">
        <v>268</v>
      </c>
      <c r="D521" s="101" t="str">
        <f t="shared" ref="D521" si="291">C521</f>
        <v>GRAB</v>
      </c>
      <c r="E521" s="101">
        <f ca="1">E520</f>
        <v>3.9750000000000001</v>
      </c>
      <c r="F521" s="101">
        <f ca="1">E521</f>
        <v>3.9750000000000001</v>
      </c>
      <c r="G521" s="102">
        <f>G520</f>
        <v>27</v>
      </c>
      <c r="H521" s="101">
        <f t="shared" ca="1" si="287"/>
        <v>107.325</v>
      </c>
      <c r="I521" s="101"/>
      <c r="J521" s="103">
        <f ca="1">H521-H520</f>
        <v>-39.015000000000001</v>
      </c>
      <c r="K521" s="104">
        <f ca="1">(H521/H520)-100%</f>
        <v>-0.26660516605166051</v>
      </c>
      <c r="L521" s="83">
        <v>45978</v>
      </c>
      <c r="M521" s="11"/>
      <c r="N521" s="5" t="s">
        <v>331</v>
      </c>
    </row>
    <row r="522" spans="1:15" x14ac:dyDescent="0.35">
      <c r="B522" s="135" t="s">
        <v>35</v>
      </c>
      <c r="C522" s="52" t="e" vm="11">
        <v>#VALUE!</v>
      </c>
      <c r="D522" s="52" t="e" vm="11">
        <v>#VALUE!</v>
      </c>
      <c r="E522" s="52" cm="1">
        <f t="array" aca="1" ref="E522" ca="1">_FV(D522,"Price")</f>
        <v>396.80220000000003</v>
      </c>
      <c r="F522" s="52">
        <v>395.48</v>
      </c>
      <c r="G522" s="54">
        <v>5</v>
      </c>
      <c r="H522" s="52">
        <f t="shared" ref="H522:H533" si="292">F522*G522</f>
        <v>1977.4</v>
      </c>
      <c r="I522" s="52" t="s">
        <v>5</v>
      </c>
      <c r="J522" s="10"/>
      <c r="K522" s="7"/>
      <c r="L522" s="128"/>
      <c r="M522" s="11"/>
    </row>
    <row r="523" spans="1:15" x14ac:dyDescent="0.35">
      <c r="B523" s="136"/>
      <c r="C523" s="52" t="s">
        <v>37</v>
      </c>
      <c r="D523" s="52" t="str">
        <f t="shared" ref="D523:D525" si="293">C523</f>
        <v>TSLA</v>
      </c>
      <c r="E523" s="52">
        <f ca="1">E522</f>
        <v>396.80220000000003</v>
      </c>
      <c r="F523" s="52">
        <v>395.92</v>
      </c>
      <c r="G523" s="54">
        <f>G522</f>
        <v>5</v>
      </c>
      <c r="H523" s="52">
        <f t="shared" si="292"/>
        <v>1979.6000000000001</v>
      </c>
      <c r="I523" s="52"/>
      <c r="J523" s="10">
        <f>H523-H522</f>
        <v>2.2000000000000455</v>
      </c>
      <c r="K523" s="7">
        <f>(H523/H522)-100%</f>
        <v>1.112572064327022E-3</v>
      </c>
      <c r="L523" s="128"/>
      <c r="M523" s="11"/>
      <c r="N523" s="5" t="s">
        <v>332</v>
      </c>
      <c r="O523" s="5" t="s">
        <v>337</v>
      </c>
    </row>
    <row r="524" spans="1:15" x14ac:dyDescent="0.35">
      <c r="A524" s="5">
        <v>1</v>
      </c>
      <c r="B524" s="139" t="s">
        <v>385</v>
      </c>
      <c r="C524" s="81" t="e" vm="45">
        <v>#VALUE!</v>
      </c>
      <c r="D524" s="81" t="e" vm="45">
        <f t="shared" si="293"/>
        <v>#VALUE!</v>
      </c>
      <c r="E524" s="81" cm="1">
        <f t="array" aca="1" ref="E524" ca="1">_FV(D524,"Price")</f>
        <v>99.015000000000001</v>
      </c>
      <c r="F524" s="81">
        <f>1241.65/10</f>
        <v>124.16500000000001</v>
      </c>
      <c r="G524" s="82">
        <f>4*10</f>
        <v>40</v>
      </c>
      <c r="H524" s="81">
        <f t="shared" si="292"/>
        <v>4966.6000000000004</v>
      </c>
      <c r="I524" s="81" t="s">
        <v>5</v>
      </c>
      <c r="J524" s="10"/>
      <c r="K524" s="7"/>
      <c r="L524" s="128"/>
      <c r="M524" s="11"/>
    </row>
    <row r="525" spans="1:15" x14ac:dyDescent="0.35">
      <c r="A525" s="5">
        <v>1</v>
      </c>
      <c r="B525" s="140"/>
      <c r="C525" s="105" t="s">
        <v>311</v>
      </c>
      <c r="D525" s="81" t="str">
        <f t="shared" si="293"/>
        <v>NETFLIX</v>
      </c>
      <c r="E525" s="81">
        <f ca="1">E524</f>
        <v>99.015000000000001</v>
      </c>
      <c r="F525" s="81">
        <f ca="1">E525</f>
        <v>99.015000000000001</v>
      </c>
      <c r="G525" s="82">
        <f>G524</f>
        <v>40</v>
      </c>
      <c r="H525" s="81">
        <f t="shared" ca="1" si="292"/>
        <v>3960.6</v>
      </c>
      <c r="I525" s="81"/>
      <c r="J525" s="10">
        <f ca="1">H525-H524</f>
        <v>-1006.0000000000005</v>
      </c>
      <c r="K525" s="7">
        <f ca="1">(H525/H524)-100%</f>
        <v>-0.20255305440341487</v>
      </c>
      <c r="L525" s="83">
        <v>45951</v>
      </c>
      <c r="M525" s="11"/>
      <c r="N525" s="5" t="s">
        <v>310</v>
      </c>
      <c r="O525" s="5" t="s">
        <v>334</v>
      </c>
    </row>
    <row r="526" spans="1:15" x14ac:dyDescent="0.35">
      <c r="A526" s="5">
        <v>1</v>
      </c>
      <c r="B526" s="148" t="s">
        <v>383</v>
      </c>
      <c r="C526" s="13" t="e" vm="22">
        <v>#VALUE!</v>
      </c>
      <c r="D526" s="13" t="e" vm="22">
        <f>C526</f>
        <v>#VALUE!</v>
      </c>
      <c r="E526" s="13" cm="1">
        <f t="array" aca="1" ref="E526" ca="1">_FV(D526,"Price")</f>
        <v>409.05500000000001</v>
      </c>
      <c r="F526" s="13">
        <v>491.89</v>
      </c>
      <c r="G526" s="14">
        <v>2</v>
      </c>
      <c r="H526" s="13">
        <f t="shared" si="292"/>
        <v>983.78</v>
      </c>
      <c r="I526" s="13" t="s">
        <v>5</v>
      </c>
      <c r="J526" s="10"/>
      <c r="K526" s="7"/>
      <c r="L526" s="128"/>
      <c r="M526" s="11"/>
    </row>
    <row r="527" spans="1:15" x14ac:dyDescent="0.35">
      <c r="A527" s="5">
        <v>1</v>
      </c>
      <c r="B527" s="149"/>
      <c r="C527" s="15" t="s">
        <v>69</v>
      </c>
      <c r="D527" s="13" t="str">
        <f t="shared" ref="D527" si="294">C527</f>
        <v>MSFT</v>
      </c>
      <c r="E527" s="13">
        <f ca="1">E526</f>
        <v>409.05500000000001</v>
      </c>
      <c r="F527" s="13">
        <f ca="1">E527</f>
        <v>409.05500000000001</v>
      </c>
      <c r="G527" s="14">
        <f>G526</f>
        <v>2</v>
      </c>
      <c r="H527" s="13">
        <f t="shared" ca="1" si="292"/>
        <v>818.11</v>
      </c>
      <c r="I527" s="13"/>
      <c r="J527" s="10">
        <f ca="1">H527-H526</f>
        <v>-165.66999999999996</v>
      </c>
      <c r="K527" s="7">
        <f ca="1">(H527/H526)-100%</f>
        <v>-0.16840147187379284</v>
      </c>
      <c r="L527" s="83">
        <v>45979</v>
      </c>
      <c r="M527" s="11"/>
      <c r="N527" s="5" t="s">
        <v>335</v>
      </c>
    </row>
    <row r="528" spans="1:15" x14ac:dyDescent="0.35">
      <c r="A528" s="5">
        <v>1</v>
      </c>
      <c r="B528" s="135" t="s">
        <v>386</v>
      </c>
      <c r="C528" s="16" t="e" vm="11">
        <v>#VALUE!</v>
      </c>
      <c r="D528" s="16" t="e" vm="11">
        <v>#VALUE!</v>
      </c>
      <c r="E528" s="16" cm="1">
        <f t="array" aca="1" ref="E528" ca="1">_FV(D528,"Price")</f>
        <v>396.80220000000003</v>
      </c>
      <c r="F528" s="16">
        <v>392.02</v>
      </c>
      <c r="G528" s="17">
        <v>2</v>
      </c>
      <c r="H528" s="16">
        <f t="shared" si="292"/>
        <v>784.04</v>
      </c>
      <c r="I528" s="16" t="s">
        <v>5</v>
      </c>
      <c r="J528" s="10"/>
      <c r="K528" s="7"/>
      <c r="L528" s="83"/>
      <c r="M528" s="11"/>
    </row>
    <row r="529" spans="1:31" x14ac:dyDescent="0.35">
      <c r="A529" s="5">
        <v>1</v>
      </c>
      <c r="B529" s="136"/>
      <c r="C529" s="86" t="s">
        <v>37</v>
      </c>
      <c r="D529" s="86" t="str">
        <f t="shared" ref="D529:D531" si="295">C529</f>
        <v>TSLA</v>
      </c>
      <c r="E529" s="86">
        <f ca="1">E528</f>
        <v>396.80220000000003</v>
      </c>
      <c r="F529" s="86">
        <f ca="1">E529</f>
        <v>396.80220000000003</v>
      </c>
      <c r="G529" s="87">
        <f>G528</f>
        <v>2</v>
      </c>
      <c r="H529" s="86">
        <f t="shared" ca="1" si="292"/>
        <v>793.60440000000006</v>
      </c>
      <c r="I529" s="86"/>
      <c r="J529" s="10">
        <f ca="1">H529-H528</f>
        <v>9.5644000000000915</v>
      </c>
      <c r="K529" s="7">
        <f ca="1">(H529/H528)-100%</f>
        <v>1.2198867404724423E-2</v>
      </c>
      <c r="L529" s="83">
        <v>45982</v>
      </c>
      <c r="M529" s="11"/>
      <c r="N529" s="5" t="s">
        <v>338</v>
      </c>
      <c r="AC529" s="5">
        <v>1.7500000000000002E-2</v>
      </c>
      <c r="AD529" s="5">
        <v>30</v>
      </c>
      <c r="AE529" s="5">
        <f>AC529*AD529</f>
        <v>0.52500000000000002</v>
      </c>
    </row>
    <row r="530" spans="1:31" x14ac:dyDescent="0.35">
      <c r="B530" s="135" t="s">
        <v>386</v>
      </c>
      <c r="C530" s="129" t="e" vm="25">
        <v>#VALUE!</v>
      </c>
      <c r="D530" s="129" t="e" vm="25">
        <f t="shared" si="295"/>
        <v>#VALUE!</v>
      </c>
      <c r="E530" s="129" cm="1">
        <f t="array" aca="1" ref="E530" ca="1">_FV(D530,"Price")</f>
        <v>177.64</v>
      </c>
      <c r="F530" s="129">
        <v>173.16</v>
      </c>
      <c r="G530" s="130">
        <v>28</v>
      </c>
      <c r="H530" s="129">
        <f t="shared" si="292"/>
        <v>4848.4799999999996</v>
      </c>
      <c r="I530" s="129" t="s">
        <v>5</v>
      </c>
      <c r="J530" s="10"/>
      <c r="K530" s="7"/>
      <c r="L530" s="83"/>
      <c r="M530" s="11"/>
    </row>
    <row r="531" spans="1:31" x14ac:dyDescent="0.35">
      <c r="B531" s="136"/>
      <c r="C531" s="131" t="s">
        <v>101</v>
      </c>
      <c r="D531" s="131" t="str">
        <f t="shared" si="295"/>
        <v>NVDA</v>
      </c>
      <c r="E531" s="131">
        <f ca="1">E530</f>
        <v>177.64</v>
      </c>
      <c r="F531" s="131">
        <v>174.85</v>
      </c>
      <c r="G531" s="132">
        <f>G530</f>
        <v>28</v>
      </c>
      <c r="H531" s="131">
        <f t="shared" si="292"/>
        <v>4895.8</v>
      </c>
      <c r="I531" s="131"/>
      <c r="J531" s="10">
        <f>H531-H530</f>
        <v>47.320000000000618</v>
      </c>
      <c r="K531" s="7">
        <f>(H531/H530)-100%</f>
        <v>9.7597597597598451E-3</v>
      </c>
      <c r="L531" s="83">
        <v>45986</v>
      </c>
      <c r="M531" s="83">
        <v>46058</v>
      </c>
      <c r="N531" s="5" t="s">
        <v>339</v>
      </c>
    </row>
    <row r="532" spans="1:31" x14ac:dyDescent="0.35">
      <c r="A532" s="13">
        <v>1</v>
      </c>
      <c r="B532" s="138" t="s">
        <v>377</v>
      </c>
      <c r="C532" s="117" t="e" vm="48">
        <v>#VALUE!</v>
      </c>
      <c r="D532" s="118" t="e" vm="48">
        <f>C532</f>
        <v>#VALUE!</v>
      </c>
      <c r="E532" s="118" cm="1">
        <f t="array" aca="1" ref="E532" ca="1">_FV(D532,"Price")</f>
        <v>9.7144999999999992</v>
      </c>
      <c r="F532" s="118">
        <v>9.4499999999999993</v>
      </c>
      <c r="G532" s="119">
        <v>372</v>
      </c>
      <c r="H532" s="118">
        <f t="shared" si="292"/>
        <v>3515.3999999999996</v>
      </c>
      <c r="I532" s="118" t="s">
        <v>5</v>
      </c>
      <c r="J532" s="110"/>
      <c r="K532" s="111"/>
      <c r="L532" s="128"/>
      <c r="M532" s="127"/>
    </row>
    <row r="533" spans="1:31" ht="43.2" x14ac:dyDescent="0.35">
      <c r="A533" s="13">
        <v>1</v>
      </c>
      <c r="B533" s="138"/>
      <c r="C533" s="117" t="s">
        <v>341</v>
      </c>
      <c r="D533" s="118" t="str">
        <f t="shared" ref="D533" si="296">C533</f>
        <v>BANK ETF</v>
      </c>
      <c r="E533" s="118">
        <f ca="1">E532</f>
        <v>9.7144999999999992</v>
      </c>
      <c r="F533" s="118">
        <f ca="1">E533</f>
        <v>9.7144999999999992</v>
      </c>
      <c r="G533" s="119">
        <f>G532</f>
        <v>372</v>
      </c>
      <c r="H533" s="118">
        <f t="shared" ca="1" si="292"/>
        <v>3613.7939999999999</v>
      </c>
      <c r="I533" s="118"/>
      <c r="J533" s="110">
        <f ca="1">H533-H532</f>
        <v>98.394000000000233</v>
      </c>
      <c r="K533" s="111">
        <f ca="1">(H533/H532)-100%</f>
        <v>2.7989417989418008E-2</v>
      </c>
      <c r="L533" s="83">
        <v>45987</v>
      </c>
      <c r="M533" s="127"/>
      <c r="N533" s="5" t="s">
        <v>342</v>
      </c>
      <c r="P533" s="6" t="s">
        <v>361</v>
      </c>
    </row>
    <row r="534" spans="1:31" x14ac:dyDescent="0.35">
      <c r="A534" s="5">
        <v>1</v>
      </c>
      <c r="B534" s="141" t="s">
        <v>382</v>
      </c>
      <c r="C534" s="114" t="e" vm="22">
        <v>#VALUE!</v>
      </c>
      <c r="D534" s="114" t="e" vm="22">
        <f>C534</f>
        <v>#VALUE!</v>
      </c>
      <c r="E534" s="114" cm="1">
        <f t="array" aca="1" ref="E534" ca="1">_FV(D534,"Price")</f>
        <v>409.05500000000001</v>
      </c>
      <c r="F534" s="114">
        <v>477.11</v>
      </c>
      <c r="G534" s="115">
        <v>5</v>
      </c>
      <c r="H534" s="114">
        <f>F534*G534</f>
        <v>2385.5500000000002</v>
      </c>
      <c r="I534" s="116" t="s">
        <v>5</v>
      </c>
      <c r="J534" s="10"/>
      <c r="K534" s="7"/>
      <c r="L534" s="128"/>
      <c r="M534" s="11"/>
    </row>
    <row r="535" spans="1:31" x14ac:dyDescent="0.35">
      <c r="A535" s="5">
        <v>1</v>
      </c>
      <c r="B535" s="142"/>
      <c r="C535" s="23" t="s">
        <v>69</v>
      </c>
      <c r="D535" s="16" t="str">
        <f t="shared" ref="D535:D539" si="297">C535</f>
        <v>MSFT</v>
      </c>
      <c r="E535" s="16">
        <f ca="1">E534</f>
        <v>409.05500000000001</v>
      </c>
      <c r="F535" s="16">
        <f ca="1">E535</f>
        <v>409.05500000000001</v>
      </c>
      <c r="G535" s="17">
        <f>G534</f>
        <v>5</v>
      </c>
      <c r="H535" s="16">
        <f ca="1">F535*G535</f>
        <v>2045.2750000000001</v>
      </c>
      <c r="I535" s="13"/>
      <c r="J535" s="10">
        <f ca="1">H535-H534</f>
        <v>-340.27500000000009</v>
      </c>
      <c r="K535" s="7">
        <f ca="1">(H535/H534)-100%</f>
        <v>-0.14264006204020041</v>
      </c>
      <c r="L535" s="83">
        <v>45994</v>
      </c>
      <c r="M535" s="11"/>
      <c r="N535" s="5" t="s">
        <v>345</v>
      </c>
    </row>
    <row r="536" spans="1:31" x14ac:dyDescent="0.35">
      <c r="A536" s="5">
        <v>1</v>
      </c>
      <c r="B536" s="135" t="s">
        <v>386</v>
      </c>
      <c r="C536" s="81" t="e" vm="45">
        <v>#VALUE!</v>
      </c>
      <c r="D536" s="81" t="e" vm="45">
        <f t="shared" si="297"/>
        <v>#VALUE!</v>
      </c>
      <c r="E536" s="81" cm="1">
        <f t="array" aca="1" ref="E536" ca="1">_FV(D536,"Price")</f>
        <v>99.015000000000001</v>
      </c>
      <c r="F536" s="81">
        <v>95.5</v>
      </c>
      <c r="G536" s="82">
        <v>10</v>
      </c>
      <c r="H536" s="81">
        <f t="shared" ref="H536:H545" si="298">F536*G536</f>
        <v>955</v>
      </c>
      <c r="I536" s="81" t="s">
        <v>5</v>
      </c>
      <c r="J536" s="10"/>
      <c r="K536" s="7"/>
      <c r="L536" s="128"/>
      <c r="M536" s="11"/>
    </row>
    <row r="537" spans="1:31" x14ac:dyDescent="0.35">
      <c r="A537" s="5">
        <v>1</v>
      </c>
      <c r="B537" s="136"/>
      <c r="C537" s="105" t="s">
        <v>311</v>
      </c>
      <c r="D537" s="81" t="str">
        <f t="shared" si="297"/>
        <v>NETFLIX</v>
      </c>
      <c r="E537" s="81">
        <f ca="1">E536</f>
        <v>99.015000000000001</v>
      </c>
      <c r="F537" s="81">
        <f ca="1">E537</f>
        <v>99.015000000000001</v>
      </c>
      <c r="G537" s="82">
        <f>G536</f>
        <v>10</v>
      </c>
      <c r="H537" s="81">
        <f t="shared" ca="1" si="298"/>
        <v>990.15</v>
      </c>
      <c r="I537" s="81"/>
      <c r="J537" s="10">
        <f ca="1">H537-H536</f>
        <v>35.149999999999977</v>
      </c>
      <c r="K537" s="7">
        <f ca="1">(H537/H536)-100%</f>
        <v>3.6806282722513073E-2</v>
      </c>
      <c r="L537" s="83">
        <v>45969</v>
      </c>
      <c r="M537" s="11"/>
      <c r="N537" s="5" t="s">
        <v>346</v>
      </c>
    </row>
    <row r="538" spans="1:31" ht="14.65" customHeight="1" x14ac:dyDescent="0.35">
      <c r="A538" s="5">
        <v>1</v>
      </c>
      <c r="B538" s="141" t="s">
        <v>382</v>
      </c>
      <c r="C538" s="16" t="e" vm="25">
        <v>#VALUE!</v>
      </c>
      <c r="D538" s="16" t="e" vm="25">
        <f t="shared" si="297"/>
        <v>#VALUE!</v>
      </c>
      <c r="E538" s="16" cm="1">
        <f t="array" aca="1" ref="E538" ca="1">_FV(D538,"Price")</f>
        <v>177.64</v>
      </c>
      <c r="F538" s="16">
        <v>178.02</v>
      </c>
      <c r="G538" s="17">
        <v>10</v>
      </c>
      <c r="H538" s="16">
        <f t="shared" si="298"/>
        <v>1780.2</v>
      </c>
      <c r="I538" s="16" t="s">
        <v>5</v>
      </c>
      <c r="J538" s="10"/>
      <c r="K538" s="7"/>
      <c r="L538" s="83"/>
      <c r="M538" s="11"/>
    </row>
    <row r="539" spans="1:31" x14ac:dyDescent="0.35">
      <c r="A539" s="5">
        <v>1</v>
      </c>
      <c r="B539" s="142"/>
      <c r="C539" s="16" t="s">
        <v>101</v>
      </c>
      <c r="D539" s="16" t="str">
        <f t="shared" si="297"/>
        <v>NVDA</v>
      </c>
      <c r="E539" s="16">
        <f ca="1">E538</f>
        <v>177.64</v>
      </c>
      <c r="F539" s="16">
        <f ca="1">E539</f>
        <v>177.64</v>
      </c>
      <c r="G539" s="17">
        <f>G538</f>
        <v>10</v>
      </c>
      <c r="H539" s="16">
        <f t="shared" ca="1" si="298"/>
        <v>1776.3999999999999</v>
      </c>
      <c r="I539" s="16"/>
      <c r="J539" s="10">
        <f ca="1">H539-H538</f>
        <v>-3.8000000000001819</v>
      </c>
      <c r="K539" s="7">
        <f ca="1">(H539/H538)-100%</f>
        <v>-2.1345916189193792E-3</v>
      </c>
      <c r="L539" s="83">
        <v>46002</v>
      </c>
      <c r="M539" s="11"/>
      <c r="N539" s="5" t="s">
        <v>347</v>
      </c>
    </row>
    <row r="540" spans="1:31" x14ac:dyDescent="0.35">
      <c r="A540" s="5">
        <v>1</v>
      </c>
      <c r="B540" s="139" t="s">
        <v>385</v>
      </c>
      <c r="C540" s="16" t="e" vm="49">
        <v>#VALUE!</v>
      </c>
      <c r="D540" s="16" t="e" vm="49">
        <f>C540</f>
        <v>#VALUE!</v>
      </c>
      <c r="E540" s="16" cm="1">
        <f t="array" aca="1" ref="E540" ca="1">_FV(D540,"Price")</f>
        <v>298.08999999999997</v>
      </c>
      <c r="F540" s="16">
        <v>306.99</v>
      </c>
      <c r="G540" s="17">
        <v>10</v>
      </c>
      <c r="H540" s="16">
        <f t="shared" si="298"/>
        <v>3069.9</v>
      </c>
      <c r="I540" s="16" t="s">
        <v>5</v>
      </c>
      <c r="J540" s="10"/>
      <c r="K540" s="7"/>
      <c r="L540" s="128"/>
      <c r="M540" s="11"/>
    </row>
    <row r="541" spans="1:31" x14ac:dyDescent="0.35">
      <c r="A541" s="5">
        <v>1</v>
      </c>
      <c r="B541" s="140"/>
      <c r="C541" s="86" t="s">
        <v>387</v>
      </c>
      <c r="D541" s="86" t="str">
        <f t="shared" ref="D541" si="299">C541</f>
        <v>GOOGL</v>
      </c>
      <c r="E541" s="86">
        <f ca="1">E540</f>
        <v>298.08999999999997</v>
      </c>
      <c r="F541" s="86">
        <f ca="1">E541</f>
        <v>298.08999999999997</v>
      </c>
      <c r="G541" s="87">
        <f>G540</f>
        <v>10</v>
      </c>
      <c r="H541" s="86">
        <f t="shared" ca="1" si="298"/>
        <v>2980.8999999999996</v>
      </c>
      <c r="I541" s="86"/>
      <c r="J541" s="10">
        <f ca="1">H541-H540</f>
        <v>-89.000000000000455</v>
      </c>
      <c r="K541" s="7">
        <f ca="1">(H541/H540)-100%</f>
        <v>-2.8991172350891103E-2</v>
      </c>
      <c r="L541" s="83">
        <v>46003</v>
      </c>
      <c r="M541" s="11"/>
      <c r="N541" s="5" t="s">
        <v>349</v>
      </c>
    </row>
    <row r="542" spans="1:31" x14ac:dyDescent="0.35">
      <c r="B542" s="148" t="s">
        <v>44</v>
      </c>
      <c r="C542" s="52" t="e" vm="11">
        <v>#VALUE!</v>
      </c>
      <c r="D542" s="52" t="e" vm="11">
        <v>#VALUE!</v>
      </c>
      <c r="E542" s="52" cm="1">
        <f t="array" aca="1" ref="E542" ca="1">_FV(D542,"Price")</f>
        <v>396.80220000000003</v>
      </c>
      <c r="F542" s="52">
        <v>475</v>
      </c>
      <c r="G542" s="54">
        <v>10</v>
      </c>
      <c r="H542" s="52">
        <f t="shared" si="298"/>
        <v>4750</v>
      </c>
      <c r="I542" s="52" t="s">
        <v>5</v>
      </c>
      <c r="J542" s="10"/>
      <c r="K542" s="7"/>
      <c r="L542" s="128"/>
      <c r="M542" s="11"/>
    </row>
    <row r="543" spans="1:31" x14ac:dyDescent="0.35">
      <c r="B543" s="149"/>
      <c r="C543" s="52" t="s">
        <v>37</v>
      </c>
      <c r="D543" s="52" t="str">
        <f t="shared" ref="D543" si="300">C543</f>
        <v>TSLA</v>
      </c>
      <c r="E543" s="52">
        <f ca="1">E542</f>
        <v>396.80220000000003</v>
      </c>
      <c r="F543" s="52">
        <v>475.25</v>
      </c>
      <c r="G543" s="54">
        <f>G542</f>
        <v>10</v>
      </c>
      <c r="H543" s="52">
        <f t="shared" si="298"/>
        <v>4752.5</v>
      </c>
      <c r="I543" s="52"/>
      <c r="J543" s="10">
        <f>H543-H542</f>
        <v>2.5</v>
      </c>
      <c r="K543" s="7">
        <f>(H543/H542)-100%</f>
        <v>5.2631578947370805E-4</v>
      </c>
      <c r="L543" s="128"/>
      <c r="M543" s="11"/>
      <c r="N543" s="5" t="s">
        <v>350</v>
      </c>
      <c r="O543" s="5" t="s">
        <v>356</v>
      </c>
    </row>
    <row r="544" spans="1:31" x14ac:dyDescent="0.35">
      <c r="A544" s="5">
        <v>1</v>
      </c>
      <c r="B544" s="139" t="s">
        <v>385</v>
      </c>
      <c r="C544" s="13" t="e" vm="11">
        <v>#VALUE!</v>
      </c>
      <c r="D544" s="13" t="e" vm="11">
        <v>#VALUE!</v>
      </c>
      <c r="E544" s="13" cm="1">
        <f t="array" aca="1" ref="E544" ca="1">_FV(D544,"Price")</f>
        <v>396.80220000000003</v>
      </c>
      <c r="F544" s="13">
        <v>468.4</v>
      </c>
      <c r="G544" s="14">
        <v>5</v>
      </c>
      <c r="H544" s="13">
        <f t="shared" si="298"/>
        <v>2342</v>
      </c>
      <c r="I544" s="13" t="s">
        <v>5</v>
      </c>
      <c r="J544" s="10"/>
      <c r="K544" s="7"/>
      <c r="L544" s="83"/>
      <c r="M544" s="11"/>
    </row>
    <row r="545" spans="1:16" x14ac:dyDescent="0.35">
      <c r="A545" s="5">
        <v>1</v>
      </c>
      <c r="B545" s="140"/>
      <c r="C545" s="13" t="s">
        <v>37</v>
      </c>
      <c r="D545" s="13" t="str">
        <f t="shared" ref="D545" si="301">C545</f>
        <v>TSLA</v>
      </c>
      <c r="E545" s="13">
        <f ca="1">E544</f>
        <v>396.80220000000003</v>
      </c>
      <c r="F545" s="13">
        <f ca="1">E545</f>
        <v>396.80220000000003</v>
      </c>
      <c r="G545" s="14">
        <f>G544</f>
        <v>5</v>
      </c>
      <c r="H545" s="13">
        <f t="shared" ca="1" si="298"/>
        <v>1984.0110000000002</v>
      </c>
      <c r="I545" s="13"/>
      <c r="J545" s="10">
        <f ca="1">H545-H544</f>
        <v>-357.98899999999981</v>
      </c>
      <c r="K545" s="7">
        <f ca="1">(H545/H544)-100%</f>
        <v>-0.15285610589239962</v>
      </c>
      <c r="L545" s="83">
        <v>46008</v>
      </c>
      <c r="M545" s="11"/>
      <c r="N545" s="5" t="s">
        <v>351</v>
      </c>
    </row>
    <row r="546" spans="1:16" x14ac:dyDescent="0.35">
      <c r="B546" s="148" t="s">
        <v>44</v>
      </c>
      <c r="C546" s="52" t="e" vm="11">
        <v>#VALUE!</v>
      </c>
      <c r="D546" s="52" t="e" vm="11">
        <v>#VALUE!</v>
      </c>
      <c r="E546" s="52" cm="1">
        <f t="array" aca="1" ref="E546" ca="1">_FV(D546,"Price")</f>
        <v>396.80220000000003</v>
      </c>
      <c r="F546" s="52">
        <v>475</v>
      </c>
      <c r="G546" s="54">
        <v>6</v>
      </c>
      <c r="H546" s="52">
        <f t="shared" ref="H546:H551" si="302">F546*G546</f>
        <v>2850</v>
      </c>
      <c r="I546" s="52" t="s">
        <v>5</v>
      </c>
      <c r="J546" s="10"/>
      <c r="K546" s="7"/>
      <c r="L546" s="128"/>
      <c r="M546" s="11"/>
    </row>
    <row r="547" spans="1:16" x14ac:dyDescent="0.35">
      <c r="B547" s="149"/>
      <c r="C547" s="99" t="s">
        <v>37</v>
      </c>
      <c r="D547" s="99" t="str">
        <f t="shared" ref="D547" si="303">C547</f>
        <v>TSLA</v>
      </c>
      <c r="E547" s="99">
        <f ca="1">E546</f>
        <v>396.80220000000003</v>
      </c>
      <c r="F547" s="99">
        <v>475.25</v>
      </c>
      <c r="G547" s="100">
        <f>G546</f>
        <v>6</v>
      </c>
      <c r="H547" s="99">
        <f t="shared" si="302"/>
        <v>2851.5</v>
      </c>
      <c r="I547" s="99"/>
      <c r="J547" s="10">
        <f>H547-H546</f>
        <v>1.5</v>
      </c>
      <c r="K547" s="7">
        <f>(H547/H546)-100%</f>
        <v>5.2631578947370805E-4</v>
      </c>
      <c r="L547" s="128"/>
      <c r="M547" s="11"/>
      <c r="N547" s="5" t="s">
        <v>352</v>
      </c>
      <c r="O547" s="5" t="s">
        <v>356</v>
      </c>
    </row>
    <row r="548" spans="1:16" x14ac:dyDescent="0.35">
      <c r="A548" s="13">
        <v>1</v>
      </c>
      <c r="B548" s="138" t="s">
        <v>377</v>
      </c>
      <c r="C548" s="107" t="e" vm="48">
        <v>#VALUE!</v>
      </c>
      <c r="D548" s="106" t="e" vm="48">
        <f>C548</f>
        <v>#VALUE!</v>
      </c>
      <c r="E548" s="106" cm="1">
        <f t="array" aca="1" ref="E548" ca="1">_FV(D548,"Price")</f>
        <v>9.7144999999999992</v>
      </c>
      <c r="F548" s="106">
        <v>9.82</v>
      </c>
      <c r="G548" s="112">
        <v>192</v>
      </c>
      <c r="H548" s="106">
        <f t="shared" si="302"/>
        <v>1885.44</v>
      </c>
      <c r="I548" s="106" t="s">
        <v>5</v>
      </c>
      <c r="J548" s="110"/>
      <c r="K548" s="111"/>
      <c r="L548" s="128"/>
      <c r="M548" s="127"/>
    </row>
    <row r="549" spans="1:16" ht="43.2" x14ac:dyDescent="0.35">
      <c r="A549" s="13">
        <v>1</v>
      </c>
      <c r="B549" s="138"/>
      <c r="C549" s="107" t="s">
        <v>341</v>
      </c>
      <c r="D549" s="106" t="str">
        <f t="shared" ref="D549" si="304">C549</f>
        <v>BANK ETF</v>
      </c>
      <c r="E549" s="106">
        <f ca="1">E548</f>
        <v>9.7144999999999992</v>
      </c>
      <c r="F549" s="106">
        <f ca="1">E549</f>
        <v>9.7144999999999992</v>
      </c>
      <c r="G549" s="112">
        <f>G548</f>
        <v>192</v>
      </c>
      <c r="H549" s="106">
        <f t="shared" ca="1" si="302"/>
        <v>1865.1839999999997</v>
      </c>
      <c r="I549" s="106"/>
      <c r="J549" s="110">
        <f ca="1">H549-H548</f>
        <v>-20.256000000000313</v>
      </c>
      <c r="K549" s="111">
        <f ca="1">(H549/H548)-100%</f>
        <v>-1.0743380855397278E-2</v>
      </c>
      <c r="L549" s="83">
        <v>46013</v>
      </c>
      <c r="M549" s="127"/>
      <c r="N549" s="5" t="s">
        <v>353</v>
      </c>
      <c r="P549" s="6" t="s">
        <v>361</v>
      </c>
    </row>
    <row r="550" spans="1:16" x14ac:dyDescent="0.35">
      <c r="A550" s="5">
        <v>1</v>
      </c>
      <c r="B550" s="135" t="s">
        <v>386</v>
      </c>
      <c r="C550" s="114" t="e" vm="11">
        <v>#VALUE!</v>
      </c>
      <c r="D550" s="114" t="e" vm="11">
        <v>#VALUE!</v>
      </c>
      <c r="E550" s="114" cm="1">
        <f t="array" aca="1" ref="E550" ca="1">_FV(D550,"Price")</f>
        <v>396.80220000000003</v>
      </c>
      <c r="F550" s="114">
        <v>486.97</v>
      </c>
      <c r="G550" s="115">
        <v>20</v>
      </c>
      <c r="H550" s="114">
        <f t="shared" si="302"/>
        <v>9739.4000000000015</v>
      </c>
      <c r="I550" s="114" t="s">
        <v>5</v>
      </c>
      <c r="J550" s="10"/>
      <c r="K550" s="7"/>
      <c r="L550" s="83"/>
      <c r="M550" s="11"/>
    </row>
    <row r="551" spans="1:16" x14ac:dyDescent="0.35">
      <c r="A551" s="5">
        <v>1</v>
      </c>
      <c r="B551" s="136"/>
      <c r="C551" s="86" t="s">
        <v>37</v>
      </c>
      <c r="D551" s="86" t="str">
        <f t="shared" ref="D551" si="305">C551</f>
        <v>TSLA</v>
      </c>
      <c r="E551" s="86">
        <f ca="1">E550</f>
        <v>396.80220000000003</v>
      </c>
      <c r="F551" s="86">
        <f ca="1">E551</f>
        <v>396.80220000000003</v>
      </c>
      <c r="G551" s="87">
        <f>G550</f>
        <v>20</v>
      </c>
      <c r="H551" s="86">
        <f t="shared" ca="1" si="302"/>
        <v>7936.0440000000008</v>
      </c>
      <c r="I551" s="86"/>
      <c r="J551" s="10">
        <f ca="1">H551-H550</f>
        <v>-1803.3560000000007</v>
      </c>
      <c r="K551" s="7">
        <f ca="1">(H551/H550)-100%</f>
        <v>-0.18516089286814386</v>
      </c>
      <c r="L551" s="83">
        <v>46014</v>
      </c>
      <c r="M551" s="11"/>
      <c r="N551" s="5" t="s">
        <v>354</v>
      </c>
    </row>
    <row r="552" spans="1:16" x14ac:dyDescent="0.35">
      <c r="A552" s="5">
        <v>1</v>
      </c>
      <c r="B552" s="135" t="s">
        <v>386</v>
      </c>
      <c r="C552" s="13" t="e" vm="11">
        <v>#VALUE!</v>
      </c>
      <c r="D552" s="13" t="e" vm="11">
        <v>#VALUE!</v>
      </c>
      <c r="E552" s="13" cm="1">
        <f t="array" aca="1" ref="E552" ca="1">_FV(D552,"Price")</f>
        <v>396.80220000000003</v>
      </c>
      <c r="F552" s="13">
        <v>486.29</v>
      </c>
      <c r="G552" s="14">
        <v>78</v>
      </c>
      <c r="H552" s="13">
        <f t="shared" ref="H552:H561" si="306">F552*G552</f>
        <v>37930.620000000003</v>
      </c>
      <c r="I552" s="13" t="s">
        <v>5</v>
      </c>
      <c r="J552" s="10"/>
      <c r="K552" s="7"/>
      <c r="L552" s="83"/>
      <c r="M552" s="11"/>
    </row>
    <row r="553" spans="1:16" x14ac:dyDescent="0.35">
      <c r="A553" s="5">
        <v>1</v>
      </c>
      <c r="B553" s="136"/>
      <c r="C553" s="13" t="s">
        <v>37</v>
      </c>
      <c r="D553" s="13" t="str">
        <f t="shared" ref="D553" si="307">C553</f>
        <v>TSLA</v>
      </c>
      <c r="E553" s="13">
        <f ca="1">E552</f>
        <v>396.80220000000003</v>
      </c>
      <c r="F553" s="13">
        <f ca="1">E553</f>
        <v>396.80220000000003</v>
      </c>
      <c r="G553" s="14">
        <f>G552</f>
        <v>78</v>
      </c>
      <c r="H553" s="13">
        <f t="shared" ca="1" si="306"/>
        <v>30950.571600000003</v>
      </c>
      <c r="I553" s="13"/>
      <c r="J553" s="10">
        <f ca="1">H553-H552</f>
        <v>-6980.0483999999997</v>
      </c>
      <c r="K553" s="7">
        <f ca="1">(H553/H552)-100%</f>
        <v>-0.18402146867095759</v>
      </c>
      <c r="L553" s="83">
        <v>46014</v>
      </c>
      <c r="M553" s="11"/>
      <c r="N553" s="5" t="s">
        <v>354</v>
      </c>
    </row>
    <row r="554" spans="1:16" x14ac:dyDescent="0.35">
      <c r="A554" s="5">
        <v>1</v>
      </c>
      <c r="B554" s="139" t="s">
        <v>385</v>
      </c>
      <c r="C554" s="16" t="e" vm="11">
        <v>#VALUE!</v>
      </c>
      <c r="D554" s="16" t="e" vm="11">
        <v>#VALUE!</v>
      </c>
      <c r="E554" s="16" cm="1">
        <f t="array" aca="1" ref="E554" ca="1">_FV(D554,"Price")</f>
        <v>396.80220000000003</v>
      </c>
      <c r="F554" s="16">
        <v>481.53</v>
      </c>
      <c r="G554" s="17">
        <v>20</v>
      </c>
      <c r="H554" s="16">
        <f t="shared" si="306"/>
        <v>9630.5999999999985</v>
      </c>
      <c r="I554" s="16" t="s">
        <v>5</v>
      </c>
      <c r="J554" s="10"/>
      <c r="K554" s="7"/>
      <c r="L554" s="83"/>
      <c r="M554" s="11"/>
    </row>
    <row r="555" spans="1:16" x14ac:dyDescent="0.35">
      <c r="A555" s="5">
        <v>1</v>
      </c>
      <c r="B555" s="140"/>
      <c r="C555" s="86" t="s">
        <v>37</v>
      </c>
      <c r="D555" s="86" t="str">
        <f t="shared" ref="D555" si="308">C555</f>
        <v>TSLA</v>
      </c>
      <c r="E555" s="86">
        <f ca="1">E554</f>
        <v>396.80220000000003</v>
      </c>
      <c r="F555" s="86">
        <f ca="1">E555</f>
        <v>396.80220000000003</v>
      </c>
      <c r="G555" s="87">
        <f>G554</f>
        <v>20</v>
      </c>
      <c r="H555" s="86">
        <f t="shared" ca="1" si="306"/>
        <v>7936.0440000000008</v>
      </c>
      <c r="I555" s="86"/>
      <c r="J555" s="10">
        <f ca="1">H555-H554</f>
        <v>-1694.5559999999978</v>
      </c>
      <c r="K555" s="7">
        <f ca="1">(H555/H554)-100%</f>
        <v>-0.17595539218740242</v>
      </c>
      <c r="L555" s="83">
        <v>46015</v>
      </c>
      <c r="M555" s="11"/>
      <c r="N555" s="5" t="s">
        <v>355</v>
      </c>
    </row>
    <row r="556" spans="1:16" x14ac:dyDescent="0.35">
      <c r="A556" s="13">
        <v>1</v>
      </c>
      <c r="B556" s="143" t="s">
        <v>360</v>
      </c>
      <c r="C556" s="117" t="e" vm="48">
        <v>#VALUE!</v>
      </c>
      <c r="D556" s="118" t="e" vm="48">
        <f>C556</f>
        <v>#VALUE!</v>
      </c>
      <c r="E556" s="118" cm="1">
        <f t="array" aca="1" ref="E556" ca="1">_FV(D556,"Price")</f>
        <v>9.7144999999999992</v>
      </c>
      <c r="F556" s="118">
        <v>9.8800000000000008</v>
      </c>
      <c r="G556" s="119">
        <v>910</v>
      </c>
      <c r="H556" s="118">
        <f t="shared" si="306"/>
        <v>8990.8000000000011</v>
      </c>
      <c r="I556" s="118" t="s">
        <v>5</v>
      </c>
      <c r="J556" s="110"/>
      <c r="K556" s="111"/>
      <c r="L556" s="128"/>
      <c r="M556" s="127"/>
    </row>
    <row r="557" spans="1:16" ht="72" x14ac:dyDescent="0.35">
      <c r="A557" s="13">
        <v>1</v>
      </c>
      <c r="B557" s="143"/>
      <c r="C557" s="117" t="s">
        <v>341</v>
      </c>
      <c r="D557" s="118" t="str">
        <f t="shared" ref="D557:D559" si="309">C557</f>
        <v>BANK ETF</v>
      </c>
      <c r="E557" s="118">
        <f ca="1">E556</f>
        <v>9.7144999999999992</v>
      </c>
      <c r="F557" s="118">
        <f ca="1">E557</f>
        <v>9.7144999999999992</v>
      </c>
      <c r="G557" s="119">
        <f>G556</f>
        <v>910</v>
      </c>
      <c r="H557" s="118">
        <f t="shared" ca="1" si="306"/>
        <v>8840.1949999999997</v>
      </c>
      <c r="I557" s="118"/>
      <c r="J557" s="110">
        <f ca="1">H557-H556</f>
        <v>-150.60500000000138</v>
      </c>
      <c r="K557" s="111">
        <f ca="1">(H557/H556)-100%</f>
        <v>-1.6751012145749145E-2</v>
      </c>
      <c r="L557" s="83">
        <v>46015</v>
      </c>
      <c r="M557" s="127"/>
      <c r="N557" s="5" t="s">
        <v>355</v>
      </c>
      <c r="P557" s="6" t="s">
        <v>359</v>
      </c>
    </row>
    <row r="558" spans="1:16" x14ac:dyDescent="0.35">
      <c r="B558" s="139" t="s">
        <v>385</v>
      </c>
      <c r="C558" s="133" t="e" vm="25">
        <v>#VALUE!</v>
      </c>
      <c r="D558" s="133" t="e" vm="25">
        <f t="shared" si="309"/>
        <v>#VALUE!</v>
      </c>
      <c r="E558" s="133" cm="1">
        <f t="array" aca="1" ref="E558" ca="1">_FV(D558,"Price")</f>
        <v>177.64</v>
      </c>
      <c r="F558" s="133">
        <v>192.54</v>
      </c>
      <c r="G558" s="134">
        <v>145</v>
      </c>
      <c r="H558" s="133">
        <f t="shared" si="306"/>
        <v>27918.3</v>
      </c>
      <c r="I558" s="133" t="s">
        <v>5</v>
      </c>
      <c r="J558" s="10"/>
      <c r="K558" s="7"/>
      <c r="L558" s="83"/>
      <c r="M558" s="11"/>
    </row>
    <row r="559" spans="1:16" x14ac:dyDescent="0.35">
      <c r="B559" s="140"/>
      <c r="C559" s="63" t="s">
        <v>101</v>
      </c>
      <c r="D559" s="63" t="str">
        <f t="shared" si="309"/>
        <v>NVDA</v>
      </c>
      <c r="E559" s="63">
        <f ca="1">E558</f>
        <v>177.64</v>
      </c>
      <c r="F559" s="63">
        <v>192.83</v>
      </c>
      <c r="G559" s="64">
        <f>G558</f>
        <v>145</v>
      </c>
      <c r="H559" s="63">
        <f t="shared" si="306"/>
        <v>27960.350000000002</v>
      </c>
      <c r="I559" s="63"/>
      <c r="J559" s="10">
        <f>H559-H558</f>
        <v>42.05000000000291</v>
      </c>
      <c r="K559" s="7">
        <f>(H559/H558)-100%</f>
        <v>1.5061805339151579E-3</v>
      </c>
      <c r="L559" s="83">
        <v>46017</v>
      </c>
      <c r="M559" s="83">
        <v>46076</v>
      </c>
      <c r="N559" s="5" t="s">
        <v>357</v>
      </c>
    </row>
    <row r="560" spans="1:16" x14ac:dyDescent="0.35">
      <c r="A560" s="5">
        <v>1</v>
      </c>
      <c r="B560" s="139" t="s">
        <v>385</v>
      </c>
      <c r="C560" s="13" t="e" vm="11">
        <v>#VALUE!</v>
      </c>
      <c r="D560" s="13" t="e" vm="11">
        <v>#VALUE!</v>
      </c>
      <c r="E560" s="13" cm="1">
        <f t="array" aca="1" ref="E560" ca="1">_FV(D560,"Price")</f>
        <v>396.80220000000003</v>
      </c>
      <c r="F560" s="13">
        <v>467.42</v>
      </c>
      <c r="G560" s="14">
        <v>5</v>
      </c>
      <c r="H560" s="13">
        <f t="shared" si="306"/>
        <v>2337.1</v>
      </c>
      <c r="I560" s="13" t="s">
        <v>5</v>
      </c>
      <c r="J560" s="10"/>
      <c r="K560" s="7"/>
      <c r="L560" s="83"/>
      <c r="M560" s="11"/>
    </row>
    <row r="561" spans="1:16" x14ac:dyDescent="0.35">
      <c r="A561" s="5">
        <v>1</v>
      </c>
      <c r="B561" s="140"/>
      <c r="C561" s="13" t="s">
        <v>37</v>
      </c>
      <c r="D561" s="13" t="str">
        <f t="shared" ref="D561" si="310">C561</f>
        <v>TSLA</v>
      </c>
      <c r="E561" s="13">
        <f ca="1">E560</f>
        <v>396.80220000000003</v>
      </c>
      <c r="F561" s="13">
        <f ca="1">E561</f>
        <v>396.80220000000003</v>
      </c>
      <c r="G561" s="14">
        <f>G560</f>
        <v>5</v>
      </c>
      <c r="H561" s="13">
        <f t="shared" ca="1" si="306"/>
        <v>1984.0110000000002</v>
      </c>
      <c r="I561" s="13"/>
      <c r="J561" s="10">
        <f ca="1">H561-H560</f>
        <v>-353.08899999999971</v>
      </c>
      <c r="K561" s="7">
        <f ca="1">(H561/H560)-100%</f>
        <v>-0.15107997090411185</v>
      </c>
      <c r="L561" s="83">
        <v>46020</v>
      </c>
      <c r="M561" s="11"/>
      <c r="N561" s="5" t="s">
        <v>358</v>
      </c>
      <c r="O561" s="5" t="s">
        <v>389</v>
      </c>
    </row>
    <row r="562" spans="1:16" x14ac:dyDescent="0.35">
      <c r="A562" s="13">
        <v>1</v>
      </c>
      <c r="B562" s="138" t="s">
        <v>377</v>
      </c>
      <c r="C562" s="107" t="e" vm="48">
        <v>#VALUE!</v>
      </c>
      <c r="D562" s="106" t="e" vm="48">
        <f>C562</f>
        <v>#VALUE!</v>
      </c>
      <c r="E562" s="106" cm="1">
        <f t="array" aca="1" ref="E562" ca="1">_FV(D562,"Price")</f>
        <v>9.7144999999999992</v>
      </c>
      <c r="F562" s="106">
        <v>9.8800000000000008</v>
      </c>
      <c r="G562" s="112">
        <v>738</v>
      </c>
      <c r="H562" s="106">
        <f t="shared" ref="H562:H563" si="311">F562*G562</f>
        <v>7291.4400000000005</v>
      </c>
      <c r="I562" s="106" t="s">
        <v>5</v>
      </c>
      <c r="J562" s="110"/>
      <c r="K562" s="111"/>
      <c r="L562" s="83"/>
      <c r="M562" s="127"/>
    </row>
    <row r="563" spans="1:16" ht="72" x14ac:dyDescent="0.35">
      <c r="A563" s="13">
        <v>1</v>
      </c>
      <c r="B563" s="138"/>
      <c r="C563" s="107" t="s">
        <v>341</v>
      </c>
      <c r="D563" s="106" t="str">
        <f t="shared" ref="D563" si="312">C563</f>
        <v>BANK ETF</v>
      </c>
      <c r="E563" s="106">
        <f ca="1">E562</f>
        <v>9.7144999999999992</v>
      </c>
      <c r="F563" s="106">
        <f ca="1">E563</f>
        <v>9.7144999999999992</v>
      </c>
      <c r="G563" s="112">
        <f>G562</f>
        <v>738</v>
      </c>
      <c r="H563" s="106">
        <f t="shared" ca="1" si="311"/>
        <v>7169.3009999999995</v>
      </c>
      <c r="I563" s="106"/>
      <c r="J563" s="110">
        <f ca="1">H563-H562</f>
        <v>-122.13900000000103</v>
      </c>
      <c r="K563" s="111">
        <f ca="1">(H563/H562)-100%</f>
        <v>-1.6751012145749145E-2</v>
      </c>
      <c r="L563" s="83">
        <v>46020</v>
      </c>
      <c r="M563" s="127"/>
      <c r="N563" s="5" t="s">
        <v>358</v>
      </c>
      <c r="P563" s="6" t="s">
        <v>366</v>
      </c>
    </row>
    <row r="564" spans="1:16" x14ac:dyDescent="0.35">
      <c r="A564" s="13">
        <v>1</v>
      </c>
      <c r="B564" s="137" t="s">
        <v>362</v>
      </c>
      <c r="C564" s="117" t="e" vm="48">
        <v>#VALUE!</v>
      </c>
      <c r="D564" s="118" t="e" vm="48">
        <f>C564</f>
        <v>#VALUE!</v>
      </c>
      <c r="E564" s="118" cm="1">
        <f t="array" aca="1" ref="E564" ca="1">_FV(D564,"Price")</f>
        <v>9.7144999999999992</v>
      </c>
      <c r="F564" s="118">
        <v>9.8800000000000008</v>
      </c>
      <c r="G564" s="119">
        <v>10</v>
      </c>
      <c r="H564" s="118">
        <f t="shared" ref="H564:H571" si="313">F564*G564</f>
        <v>98.800000000000011</v>
      </c>
      <c r="I564" s="118" t="s">
        <v>5</v>
      </c>
      <c r="J564" s="110"/>
      <c r="K564" s="111"/>
      <c r="L564" s="83"/>
      <c r="M564" s="127"/>
    </row>
    <row r="565" spans="1:16" x14ac:dyDescent="0.35">
      <c r="A565" s="13">
        <v>1</v>
      </c>
      <c r="B565" s="137"/>
      <c r="C565" s="117" t="s">
        <v>341</v>
      </c>
      <c r="D565" s="118" t="str">
        <f t="shared" ref="D565" si="314">C565</f>
        <v>BANK ETF</v>
      </c>
      <c r="E565" s="118">
        <f ca="1">E564</f>
        <v>9.7144999999999992</v>
      </c>
      <c r="F565" s="118">
        <f ca="1">E565</f>
        <v>9.7144999999999992</v>
      </c>
      <c r="G565" s="119">
        <f>G564</f>
        <v>10</v>
      </c>
      <c r="H565" s="118">
        <f t="shared" ca="1" si="313"/>
        <v>97.144999999999996</v>
      </c>
      <c r="I565" s="118"/>
      <c r="J565" s="110">
        <f ca="1">H565-H564</f>
        <v>-1.6550000000000153</v>
      </c>
      <c r="K565" s="111">
        <f ca="1">(H565/H564)-100%</f>
        <v>-1.6751012145749145E-2</v>
      </c>
      <c r="L565" s="83">
        <v>46020</v>
      </c>
      <c r="M565" s="127"/>
      <c r="N565" s="5" t="s">
        <v>358</v>
      </c>
    </row>
    <row r="566" spans="1:16" x14ac:dyDescent="0.35">
      <c r="B566" s="139" t="s">
        <v>32</v>
      </c>
      <c r="C566" s="63" t="e" vm="36">
        <v>#VALUE!</v>
      </c>
      <c r="D566" s="63" t="e" vm="36">
        <f>C566</f>
        <v>#VALUE!</v>
      </c>
      <c r="E566" s="63" cm="1">
        <f t="array" aca="1" ref="E566" ca="1">_FV(D566,"Price")</f>
        <v>22.125</v>
      </c>
      <c r="F566" s="63">
        <v>17.739999999999998</v>
      </c>
      <c r="G566" s="64">
        <v>293</v>
      </c>
      <c r="H566" s="63">
        <f t="shared" si="313"/>
        <v>5197.82</v>
      </c>
      <c r="I566" s="63" t="s">
        <v>5</v>
      </c>
      <c r="J566" s="10"/>
      <c r="K566" s="7"/>
      <c r="L566" s="83"/>
      <c r="M566" s="11"/>
    </row>
    <row r="567" spans="1:16" x14ac:dyDescent="0.35">
      <c r="B567" s="140"/>
      <c r="C567" s="90" t="s">
        <v>364</v>
      </c>
      <c r="D567" s="90" t="str">
        <f t="shared" ref="D567" si="315">C567</f>
        <v>TSLA INVERSE ETF</v>
      </c>
      <c r="E567" s="90">
        <f ca="1">E566</f>
        <v>22.125</v>
      </c>
      <c r="F567" s="90">
        <v>17.940000000000001</v>
      </c>
      <c r="G567" s="91">
        <f>G566</f>
        <v>293</v>
      </c>
      <c r="H567" s="90">
        <f t="shared" si="313"/>
        <v>5256.42</v>
      </c>
      <c r="I567" s="90"/>
      <c r="J567" s="10">
        <f>H567-H566</f>
        <v>58.600000000000364</v>
      </c>
      <c r="K567" s="7">
        <f>(H567/H566)-100%</f>
        <v>1.1273957158962844E-2</v>
      </c>
      <c r="L567" s="83"/>
      <c r="M567" s="11"/>
      <c r="N567" s="5" t="s">
        <v>365</v>
      </c>
      <c r="O567" s="5" t="s">
        <v>374</v>
      </c>
    </row>
    <row r="568" spans="1:16" x14ac:dyDescent="0.35">
      <c r="A568" s="13">
        <v>1</v>
      </c>
      <c r="B568" s="138" t="s">
        <v>377</v>
      </c>
      <c r="C568" s="107" t="e" vm="48">
        <v>#VALUE!</v>
      </c>
      <c r="D568" s="106" t="e" vm="48">
        <f>C568</f>
        <v>#VALUE!</v>
      </c>
      <c r="E568" s="106" cm="1">
        <f t="array" aca="1" ref="E568" ca="1">_FV(D568,"Price")</f>
        <v>9.7144999999999992</v>
      </c>
      <c r="F568" s="106">
        <v>9.7100000000000009</v>
      </c>
      <c r="G568" s="112">
        <v>95</v>
      </c>
      <c r="H568" s="106">
        <f t="shared" si="313"/>
        <v>922.45</v>
      </c>
      <c r="I568" s="106" t="s">
        <v>5</v>
      </c>
      <c r="J568" s="110"/>
      <c r="K568" s="111"/>
      <c r="L568" s="83"/>
      <c r="M568" s="127"/>
    </row>
    <row r="569" spans="1:16" x14ac:dyDescent="0.35">
      <c r="A569" s="13">
        <v>1</v>
      </c>
      <c r="B569" s="138"/>
      <c r="C569" s="107" t="s">
        <v>341</v>
      </c>
      <c r="D569" s="106" t="str">
        <f t="shared" ref="D569" si="316">C569</f>
        <v>BANK ETF</v>
      </c>
      <c r="E569" s="106">
        <f ca="1">E568</f>
        <v>9.7144999999999992</v>
      </c>
      <c r="F569" s="106">
        <f ca="1">E569</f>
        <v>9.7144999999999992</v>
      </c>
      <c r="G569" s="112">
        <f>G568</f>
        <v>95</v>
      </c>
      <c r="H569" s="106">
        <f t="shared" ca="1" si="313"/>
        <v>922.87749999999994</v>
      </c>
      <c r="I569" s="106"/>
      <c r="J569" s="110">
        <f ca="1">H569-H568</f>
        <v>0.42749999999989541</v>
      </c>
      <c r="K569" s="111">
        <f ca="1">(H569/H568)-100%</f>
        <v>4.6343975283202887E-4</v>
      </c>
      <c r="L569" s="83">
        <v>46022</v>
      </c>
      <c r="M569" s="127"/>
      <c r="N569" s="5" t="s">
        <v>369</v>
      </c>
      <c r="P569" s="6"/>
    </row>
    <row r="570" spans="1:16" x14ac:dyDescent="0.35">
      <c r="A570" s="5">
        <v>1</v>
      </c>
      <c r="B570" s="141" t="s">
        <v>382</v>
      </c>
      <c r="C570" s="13" t="e" vm="44">
        <v>#VALUE!</v>
      </c>
      <c r="D570" s="13" t="e" vm="44">
        <f>C570</f>
        <v>#VALUE!</v>
      </c>
      <c r="E570" s="13" cm="1">
        <f t="array" aca="1" ref="E570" ca="1">_FV(D570,"Price")</f>
        <v>157.245</v>
      </c>
      <c r="F570" s="13">
        <v>169.06</v>
      </c>
      <c r="G570" s="14">
        <v>10</v>
      </c>
      <c r="H570" s="13">
        <f t="shared" si="313"/>
        <v>1690.6</v>
      </c>
      <c r="I570" s="13" t="s">
        <v>5</v>
      </c>
      <c r="J570" s="10"/>
      <c r="K570" s="7"/>
      <c r="L570" s="83"/>
      <c r="M570" s="11"/>
    </row>
    <row r="571" spans="1:16" x14ac:dyDescent="0.35">
      <c r="A571" s="5">
        <v>1</v>
      </c>
      <c r="B571" s="142"/>
      <c r="C571" s="13" t="s">
        <v>309</v>
      </c>
      <c r="D571" s="13" t="str">
        <f t="shared" ref="D571" si="317">C571</f>
        <v>PLTR</v>
      </c>
      <c r="E571" s="13">
        <f ca="1">E570</f>
        <v>157.245</v>
      </c>
      <c r="F571" s="13">
        <f ca="1">E571</f>
        <v>157.245</v>
      </c>
      <c r="G571" s="14">
        <f>G570</f>
        <v>10</v>
      </c>
      <c r="H571" s="13">
        <f t="shared" ca="1" si="313"/>
        <v>1572.45</v>
      </c>
      <c r="I571" s="13"/>
      <c r="J571" s="10">
        <f ca="1">H571-H570</f>
        <v>-118.14999999999986</v>
      </c>
      <c r="K571" s="7">
        <f ca="1">(H571/H570)-100%</f>
        <v>-6.9886430852951542E-2</v>
      </c>
      <c r="L571" s="83">
        <v>46024</v>
      </c>
      <c r="M571" s="11"/>
      <c r="N571" s="5" t="s">
        <v>371</v>
      </c>
    </row>
    <row r="572" spans="1:16" x14ac:dyDescent="0.35">
      <c r="B572" s="139" t="s">
        <v>32</v>
      </c>
      <c r="C572" s="52" t="e" vm="36">
        <v>#VALUE!</v>
      </c>
      <c r="D572" s="52" t="e" vm="36">
        <f>C572</f>
        <v>#VALUE!</v>
      </c>
      <c r="E572" s="52" cm="1">
        <f t="array" aca="1" ref="E572" ca="1">_FV(D572,"Price")</f>
        <v>22.125</v>
      </c>
      <c r="F572" s="52">
        <v>17.91</v>
      </c>
      <c r="G572" s="54">
        <v>295</v>
      </c>
      <c r="H572" s="52">
        <f t="shared" ref="H572:H575" si="318">F572*G572</f>
        <v>5283.45</v>
      </c>
      <c r="I572" s="52" t="s">
        <v>5</v>
      </c>
      <c r="J572" s="10"/>
      <c r="K572" s="7"/>
      <c r="L572" s="83"/>
      <c r="M572" s="11"/>
    </row>
    <row r="573" spans="1:16" x14ac:dyDescent="0.35">
      <c r="B573" s="140"/>
      <c r="C573" s="52" t="s">
        <v>364</v>
      </c>
      <c r="D573" s="52" t="str">
        <f t="shared" ref="D573" si="319">C573</f>
        <v>TSLA INVERSE ETF</v>
      </c>
      <c r="E573" s="52">
        <f ca="1">E572</f>
        <v>22.125</v>
      </c>
      <c r="F573" s="90">
        <v>17.940000000000001</v>
      </c>
      <c r="G573" s="54">
        <f>G572</f>
        <v>295</v>
      </c>
      <c r="H573" s="52">
        <f t="shared" si="318"/>
        <v>5292.3</v>
      </c>
      <c r="I573" s="52"/>
      <c r="J573" s="10">
        <f>H573-H572</f>
        <v>8.8500000000003638</v>
      </c>
      <c r="K573" s="7">
        <f>(H573/H572)-100%</f>
        <v>1.6750418760469454E-3</v>
      </c>
      <c r="L573" s="83"/>
      <c r="M573" s="11"/>
      <c r="N573" s="5" t="s">
        <v>373</v>
      </c>
      <c r="O573" s="5" t="s">
        <v>374</v>
      </c>
    </row>
    <row r="574" spans="1:16" x14ac:dyDescent="0.35">
      <c r="A574" s="5">
        <v>1</v>
      </c>
      <c r="B574" s="141" t="s">
        <v>382</v>
      </c>
      <c r="C574" s="16" t="e" vm="11">
        <v>#VALUE!</v>
      </c>
      <c r="D574" s="16" t="e" vm="11">
        <v>#VALUE!</v>
      </c>
      <c r="E574" s="16" cm="1">
        <f t="array" aca="1" ref="E574" ca="1">_FV(D574,"Price")</f>
        <v>396.80220000000003</v>
      </c>
      <c r="F574" s="16">
        <v>438.8</v>
      </c>
      <c r="G574" s="17">
        <v>21</v>
      </c>
      <c r="H574" s="16">
        <f t="shared" si="318"/>
        <v>9214.8000000000011</v>
      </c>
      <c r="I574" s="16" t="s">
        <v>5</v>
      </c>
      <c r="J574" s="10"/>
      <c r="K574" s="7"/>
      <c r="L574" s="83"/>
      <c r="M574" s="11"/>
    </row>
    <row r="575" spans="1:16" x14ac:dyDescent="0.35">
      <c r="A575" s="5">
        <v>1</v>
      </c>
      <c r="B575" s="142"/>
      <c r="C575" s="86" t="s">
        <v>37</v>
      </c>
      <c r="D575" s="86" t="str">
        <f t="shared" ref="D575" si="320">C575</f>
        <v>TSLA</v>
      </c>
      <c r="E575" s="86">
        <f ca="1">E574</f>
        <v>396.80220000000003</v>
      </c>
      <c r="F575" s="86">
        <f ca="1">E575</f>
        <v>396.80220000000003</v>
      </c>
      <c r="G575" s="87">
        <f>G574</f>
        <v>21</v>
      </c>
      <c r="H575" s="86">
        <f t="shared" ca="1" si="318"/>
        <v>8332.8462</v>
      </c>
      <c r="I575" s="86"/>
      <c r="J575" s="10">
        <f ca="1">H575-H574</f>
        <v>-881.95380000000114</v>
      </c>
      <c r="K575" s="7">
        <f ca="1">(H575/H574)-100%</f>
        <v>-9.5710574293527917E-2</v>
      </c>
      <c r="L575" s="83">
        <v>46028</v>
      </c>
      <c r="M575" s="11"/>
      <c r="N575" s="5" t="s">
        <v>375</v>
      </c>
    </row>
    <row r="576" spans="1:16" x14ac:dyDescent="0.35">
      <c r="A576" s="5">
        <v>1</v>
      </c>
      <c r="B576" s="141" t="s">
        <v>382</v>
      </c>
      <c r="C576" s="13" t="e" vm="11">
        <v>#VALUE!</v>
      </c>
      <c r="D576" s="13" t="e" vm="11">
        <v>#VALUE!</v>
      </c>
      <c r="E576" s="13" cm="1">
        <f t="array" aca="1" ref="E576" ca="1">_FV(D576,"Price")</f>
        <v>396.80220000000003</v>
      </c>
      <c r="F576" s="13">
        <v>432.02</v>
      </c>
      <c r="G576" s="14">
        <v>2</v>
      </c>
      <c r="H576" s="13">
        <f t="shared" ref="H576:H579" si="321">F576*G576</f>
        <v>864.04</v>
      </c>
      <c r="I576" s="13" t="s">
        <v>5</v>
      </c>
      <c r="J576" s="10"/>
      <c r="K576" s="7"/>
      <c r="L576" s="11"/>
      <c r="M576" s="11"/>
    </row>
    <row r="577" spans="1:16" x14ac:dyDescent="0.35">
      <c r="A577" s="5">
        <v>1</v>
      </c>
      <c r="B577" s="142"/>
      <c r="C577" s="13" t="s">
        <v>37</v>
      </c>
      <c r="D577" s="13" t="str">
        <f t="shared" ref="D577" si="322">C577</f>
        <v>TSLA</v>
      </c>
      <c r="E577" s="13">
        <f ca="1">E576</f>
        <v>396.80220000000003</v>
      </c>
      <c r="F577" s="13">
        <f ca="1">E577</f>
        <v>396.80220000000003</v>
      </c>
      <c r="G577" s="14">
        <f>G576</f>
        <v>2</v>
      </c>
      <c r="H577" s="13">
        <f t="shared" ca="1" si="321"/>
        <v>793.60440000000006</v>
      </c>
      <c r="I577" s="13"/>
      <c r="J577" s="10">
        <f ca="1">H577-H576</f>
        <v>-70.435599999999909</v>
      </c>
      <c r="K577" s="7">
        <f ca="1">(H577/H576)-100%</f>
        <v>-8.1518911161520213E-2</v>
      </c>
      <c r="L577" s="83">
        <v>46028</v>
      </c>
      <c r="M577" s="11"/>
      <c r="N577" s="5" t="s">
        <v>375</v>
      </c>
    </row>
    <row r="578" spans="1:16" x14ac:dyDescent="0.35">
      <c r="A578" s="13">
        <v>1</v>
      </c>
      <c r="B578" s="138" t="s">
        <v>377</v>
      </c>
      <c r="C578" s="107" t="e" vm="50">
        <v>#VALUE!</v>
      </c>
      <c r="D578" s="106" t="e" vm="50">
        <f>C578</f>
        <v>#VALUE!</v>
      </c>
      <c r="E578" s="106" cm="1">
        <f t="array" aca="1" ref="E578" ca="1">_FV(D578,"Price")</f>
        <v>129.4</v>
      </c>
      <c r="F578" s="106">
        <v>85.97</v>
      </c>
      <c r="G578" s="112">
        <v>372</v>
      </c>
      <c r="H578" s="106">
        <f t="shared" si="321"/>
        <v>31980.84</v>
      </c>
      <c r="I578" s="106" t="s">
        <v>5</v>
      </c>
      <c r="J578" s="110"/>
      <c r="K578" s="111"/>
      <c r="L578" s="127"/>
      <c r="M578" s="127"/>
    </row>
    <row r="579" spans="1:16" ht="43.2" x14ac:dyDescent="0.35">
      <c r="A579" s="13">
        <v>1</v>
      </c>
      <c r="B579" s="138"/>
      <c r="C579" s="107" t="s">
        <v>407</v>
      </c>
      <c r="D579" s="106" t="str">
        <f t="shared" ref="D579" si="323">C579</f>
        <v>TD.TO</v>
      </c>
      <c r="E579" s="106">
        <f ca="1">E578</f>
        <v>129.4</v>
      </c>
      <c r="F579" s="106">
        <f ca="1">E579</f>
        <v>129.4</v>
      </c>
      <c r="G579" s="112">
        <f>G578</f>
        <v>372</v>
      </c>
      <c r="H579" s="106">
        <f t="shared" ca="1" si="321"/>
        <v>48136.800000000003</v>
      </c>
      <c r="I579" s="106"/>
      <c r="J579" s="110">
        <f ca="1">H579-H578</f>
        <v>16155.960000000003</v>
      </c>
      <c r="K579" s="111">
        <f ca="1">(H579/H578)-100%</f>
        <v>0.50517622426427833</v>
      </c>
      <c r="L579" s="127"/>
      <c r="M579" s="127"/>
      <c r="N579" s="6" t="s">
        <v>378</v>
      </c>
      <c r="O579" s="5" t="s">
        <v>379</v>
      </c>
      <c r="P579" s="6" t="s">
        <v>361</v>
      </c>
    </row>
    <row r="580" spans="1:16" x14ac:dyDescent="0.35">
      <c r="A580" s="13">
        <v>1</v>
      </c>
      <c r="B580" s="138" t="s">
        <v>377</v>
      </c>
      <c r="C580" s="107" t="e" vm="51">
        <v>#VALUE!</v>
      </c>
      <c r="D580" s="106" t="e" vm="51">
        <f>C580</f>
        <v>#VALUE!</v>
      </c>
      <c r="E580" s="106" cm="1">
        <f t="array" aca="1" ref="E580" ca="1">_FV(D580,"Price")</f>
        <v>38.21</v>
      </c>
      <c r="F580" s="106">
        <v>36.85</v>
      </c>
      <c r="G580" s="112">
        <v>677</v>
      </c>
      <c r="H580" s="106">
        <f t="shared" ref="H580:H593" si="324">F580*G580</f>
        <v>24947.45</v>
      </c>
      <c r="I580" s="106" t="s">
        <v>5</v>
      </c>
      <c r="J580" s="110"/>
      <c r="K580" s="111"/>
      <c r="L580" s="127"/>
      <c r="M580" s="127"/>
    </row>
    <row r="581" spans="1:16" ht="28.8" x14ac:dyDescent="0.35">
      <c r="A581" s="13">
        <v>1</v>
      </c>
      <c r="B581" s="138"/>
      <c r="C581" s="107" t="s">
        <v>376</v>
      </c>
      <c r="D581" s="106" t="str">
        <f t="shared" ref="D581" si="325">C581</f>
        <v>XDIV ETF</v>
      </c>
      <c r="E581" s="106">
        <f ca="1">E580</f>
        <v>38.21</v>
      </c>
      <c r="F581" s="106">
        <f ca="1">E581</f>
        <v>38.21</v>
      </c>
      <c r="G581" s="112">
        <f>G580</f>
        <v>677</v>
      </c>
      <c r="H581" s="106">
        <f t="shared" ca="1" si="324"/>
        <v>25868.170000000002</v>
      </c>
      <c r="I581" s="106"/>
      <c r="J581" s="110">
        <f ca="1">H581-H580</f>
        <v>920.72000000000116</v>
      </c>
      <c r="K581" s="111">
        <f ca="1">(H581/H580)-100%</f>
        <v>3.6906377204884766E-2</v>
      </c>
      <c r="L581" s="83">
        <v>46029</v>
      </c>
      <c r="M581" s="127"/>
      <c r="N581" s="6" t="s">
        <v>393</v>
      </c>
    </row>
    <row r="582" spans="1:16" x14ac:dyDescent="0.35">
      <c r="B582" s="139" t="s">
        <v>385</v>
      </c>
      <c r="C582" s="63" t="e" vm="36">
        <v>#VALUE!</v>
      </c>
      <c r="D582" s="63" t="e" vm="36">
        <f>C582</f>
        <v>#VALUE!</v>
      </c>
      <c r="E582" s="63" cm="1">
        <f t="array" aca="1" ref="E582" ca="1">_FV(D582,"Price")</f>
        <v>22.125</v>
      </c>
      <c r="F582" s="63">
        <v>19.7</v>
      </c>
      <c r="G582" s="64">
        <v>538</v>
      </c>
      <c r="H582" s="63">
        <f t="shared" si="324"/>
        <v>10598.6</v>
      </c>
      <c r="I582" s="63" t="s">
        <v>5</v>
      </c>
      <c r="J582" s="10"/>
      <c r="K582" s="7"/>
      <c r="L582" s="11"/>
      <c r="M582" s="11"/>
    </row>
    <row r="583" spans="1:16" x14ac:dyDescent="0.35">
      <c r="B583" s="140"/>
      <c r="C583" s="90" t="s">
        <v>364</v>
      </c>
      <c r="D583" s="90" t="str">
        <f t="shared" ref="D583" si="326">C583</f>
        <v>TSLA INVERSE ETF</v>
      </c>
      <c r="E583" s="90">
        <f ca="1">E582</f>
        <v>22.125</v>
      </c>
      <c r="F583" s="90">
        <v>18.989999999999998</v>
      </c>
      <c r="G583" s="91">
        <f>G582</f>
        <v>538</v>
      </c>
      <c r="H583" s="90">
        <f t="shared" si="324"/>
        <v>10216.619999999999</v>
      </c>
      <c r="I583" s="90"/>
      <c r="J583" s="10">
        <f>H583-H582</f>
        <v>-381.98000000000138</v>
      </c>
      <c r="K583" s="7">
        <f>(H583/H582)-100%</f>
        <v>-3.6040609137055979E-2</v>
      </c>
      <c r="L583" s="11"/>
      <c r="M583" s="11"/>
      <c r="N583" s="5" t="s">
        <v>380</v>
      </c>
      <c r="O583" s="5" t="s">
        <v>390</v>
      </c>
    </row>
    <row r="584" spans="1:16" x14ac:dyDescent="0.35">
      <c r="A584" s="5">
        <v>1</v>
      </c>
      <c r="B584" s="146" t="s">
        <v>381</v>
      </c>
      <c r="C584" s="101" t="e" vm="43">
        <v>#VALUE!</v>
      </c>
      <c r="D584" s="101" t="e" vm="43">
        <f>C584</f>
        <v>#VALUE!</v>
      </c>
      <c r="E584" s="101" cm="1">
        <f t="array" aca="1" ref="E584" ca="1">_FV(D584,"Price")</f>
        <v>3.9750000000000001</v>
      </c>
      <c r="F584" s="121">
        <v>4.8949999999999996</v>
      </c>
      <c r="G584" s="102">
        <v>61</v>
      </c>
      <c r="H584" s="101">
        <f t="shared" si="324"/>
        <v>298.59499999999997</v>
      </c>
      <c r="I584" s="101" t="s">
        <v>5</v>
      </c>
      <c r="J584" s="103"/>
      <c r="K584" s="104"/>
      <c r="L584" s="11"/>
      <c r="M584" s="11"/>
    </row>
    <row r="585" spans="1:16" x14ac:dyDescent="0.35">
      <c r="A585" s="5">
        <v>1</v>
      </c>
      <c r="B585" s="147"/>
      <c r="C585" s="101" t="s">
        <v>268</v>
      </c>
      <c r="D585" s="101" t="str">
        <f t="shared" ref="D585" si="327">C585</f>
        <v>GRAB</v>
      </c>
      <c r="E585" s="101">
        <f ca="1">E584</f>
        <v>3.9750000000000001</v>
      </c>
      <c r="F585" s="121">
        <f ca="1">E585</f>
        <v>3.9750000000000001</v>
      </c>
      <c r="G585" s="102">
        <f>G584</f>
        <v>61</v>
      </c>
      <c r="H585" s="101">
        <f t="shared" ca="1" si="324"/>
        <v>242.47499999999999</v>
      </c>
      <c r="I585" s="101"/>
      <c r="J585" s="103">
        <f ca="1">H585-H584</f>
        <v>-56.119999999999976</v>
      </c>
      <c r="K585" s="104">
        <f ca="1">(H585/H584)-100%</f>
        <v>-0.18794688457609798</v>
      </c>
      <c r="L585" s="83">
        <v>46030</v>
      </c>
      <c r="M585" s="11"/>
      <c r="N585" s="5" t="s">
        <v>392</v>
      </c>
    </row>
    <row r="586" spans="1:16" x14ac:dyDescent="0.35">
      <c r="A586" s="5">
        <v>1</v>
      </c>
      <c r="B586" s="144" t="s">
        <v>29</v>
      </c>
      <c r="C586" s="16" t="e" vm="49">
        <v>#VALUE!</v>
      </c>
      <c r="D586" s="16" t="e" vm="49">
        <f>C586</f>
        <v>#VALUE!</v>
      </c>
      <c r="E586" s="16" cm="1">
        <f t="array" aca="1" ref="E586" ca="1">_FV(D586,"Price")</f>
        <v>298.08999999999997</v>
      </c>
      <c r="F586" s="16">
        <v>327</v>
      </c>
      <c r="G586" s="17">
        <v>10</v>
      </c>
      <c r="H586" s="16">
        <f t="shared" si="324"/>
        <v>3270</v>
      </c>
      <c r="I586" s="16" t="s">
        <v>5</v>
      </c>
      <c r="J586" s="10"/>
      <c r="K586" s="7"/>
      <c r="L586" s="11"/>
      <c r="M586" s="11"/>
    </row>
    <row r="587" spans="1:16" x14ac:dyDescent="0.35">
      <c r="A587" s="5">
        <v>1</v>
      </c>
      <c r="B587" s="145"/>
      <c r="C587" s="86" t="s">
        <v>387</v>
      </c>
      <c r="D587" s="86" t="str">
        <f t="shared" ref="D587" si="328">C587</f>
        <v>GOOGL</v>
      </c>
      <c r="E587" s="86">
        <f ca="1">E586</f>
        <v>298.08999999999997</v>
      </c>
      <c r="F587" s="86">
        <f ca="1">E587</f>
        <v>298.08999999999997</v>
      </c>
      <c r="G587" s="87">
        <f>G586</f>
        <v>10</v>
      </c>
      <c r="H587" s="86">
        <f t="shared" ca="1" si="324"/>
        <v>2980.8999999999996</v>
      </c>
      <c r="I587" s="86"/>
      <c r="J587" s="10">
        <f ca="1">H587-H586</f>
        <v>-289.10000000000036</v>
      </c>
      <c r="K587" s="7">
        <f ca="1">(H587/H586)-100%</f>
        <v>-8.8409785932721863E-2</v>
      </c>
      <c r="L587" s="83">
        <v>46051</v>
      </c>
      <c r="M587" s="11"/>
      <c r="N587" s="5" t="s">
        <v>391</v>
      </c>
    </row>
    <row r="588" spans="1:16" x14ac:dyDescent="0.35">
      <c r="A588" s="5">
        <v>1</v>
      </c>
      <c r="B588" s="137" t="s">
        <v>102</v>
      </c>
      <c r="C588" s="16" t="e" vm="11">
        <v>#VALUE!</v>
      </c>
      <c r="D588" s="16" t="e" vm="11">
        <v>#VALUE!</v>
      </c>
      <c r="E588" s="16" cm="1">
        <f t="array" aca="1" ref="E588" ca="1">_FV(D588,"Price")</f>
        <v>396.80220000000003</v>
      </c>
      <c r="F588" s="16">
        <v>417</v>
      </c>
      <c r="G588" s="17">
        <v>6</v>
      </c>
      <c r="H588" s="16">
        <f t="shared" si="324"/>
        <v>2502</v>
      </c>
      <c r="I588" s="16" t="s">
        <v>5</v>
      </c>
      <c r="J588" s="10"/>
      <c r="K588" s="7"/>
    </row>
    <row r="589" spans="1:16" x14ac:dyDescent="0.35">
      <c r="A589" s="5">
        <v>1</v>
      </c>
      <c r="B589" s="137"/>
      <c r="C589" s="86" t="s">
        <v>37</v>
      </c>
      <c r="D589" s="86" t="str">
        <f t="shared" ref="D589" si="329">C589</f>
        <v>TSLA</v>
      </c>
      <c r="E589" s="86">
        <f ca="1">E588</f>
        <v>396.80220000000003</v>
      </c>
      <c r="F589" s="86">
        <f ca="1">E589</f>
        <v>396.80220000000003</v>
      </c>
      <c r="G589" s="87">
        <f>G588</f>
        <v>6</v>
      </c>
      <c r="H589" s="86">
        <f t="shared" ca="1" si="324"/>
        <v>2380.8132000000001</v>
      </c>
      <c r="I589" s="86"/>
      <c r="J589" s="10">
        <f ca="1">H589-H588</f>
        <v>-121.18679999999995</v>
      </c>
      <c r="K589" s="7">
        <f ca="1">(H589/H588)-100%</f>
        <v>-4.8435971223021568E-2</v>
      </c>
      <c r="L589" s="83">
        <v>46055</v>
      </c>
    </row>
    <row r="590" spans="1:16" x14ac:dyDescent="0.35">
      <c r="A590" s="5">
        <v>1</v>
      </c>
      <c r="B590" s="139" t="s">
        <v>385</v>
      </c>
      <c r="C590" s="13" t="e" vm="11">
        <v>#VALUE!</v>
      </c>
      <c r="D590" s="13" t="e" vm="11">
        <v>#VALUE!</v>
      </c>
      <c r="E590" s="13" cm="1">
        <f t="array" aca="1" ref="E590" ca="1">_FV(D590,"Price")</f>
        <v>396.80220000000003</v>
      </c>
      <c r="F590" s="13">
        <v>416.52</v>
      </c>
      <c r="G590" s="14">
        <v>24</v>
      </c>
      <c r="H590" s="13">
        <f t="shared" si="324"/>
        <v>9996.48</v>
      </c>
      <c r="I590" s="13" t="s">
        <v>5</v>
      </c>
      <c r="J590" s="10"/>
      <c r="K590" s="7"/>
    </row>
    <row r="591" spans="1:16" x14ac:dyDescent="0.35">
      <c r="A591" s="5">
        <v>1</v>
      </c>
      <c r="B591" s="140"/>
      <c r="C591" s="13" t="s">
        <v>37</v>
      </c>
      <c r="D591" s="13" t="str">
        <f t="shared" ref="D591" si="330">C591</f>
        <v>TSLA</v>
      </c>
      <c r="E591" s="13">
        <f ca="1">E590</f>
        <v>396.80220000000003</v>
      </c>
      <c r="F591" s="13">
        <f ca="1">E591</f>
        <v>396.80220000000003</v>
      </c>
      <c r="G591" s="14">
        <f>G590</f>
        <v>24</v>
      </c>
      <c r="H591" s="13">
        <f t="shared" ca="1" si="324"/>
        <v>9523.2528000000002</v>
      </c>
      <c r="I591" s="13"/>
      <c r="J591" s="10">
        <f ca="1">H591-H590</f>
        <v>-473.22719999999936</v>
      </c>
      <c r="K591" s="7">
        <f ca="1">(H591/H590)-100%</f>
        <v>-4.7339383462978946E-2</v>
      </c>
      <c r="L591" s="83">
        <v>46056</v>
      </c>
    </row>
    <row r="592" spans="1:16" x14ac:dyDescent="0.35">
      <c r="A592" s="5">
        <v>1</v>
      </c>
      <c r="B592" s="135" t="s">
        <v>386</v>
      </c>
      <c r="C592" s="16" t="e" vm="11">
        <v>#VALUE!</v>
      </c>
      <c r="D592" s="16" t="e" vm="11">
        <v>#VALUE!</v>
      </c>
      <c r="E592" s="16" cm="1">
        <f t="array" aca="1" ref="E592" ca="1">_FV(D592,"Price")</f>
        <v>396.80220000000003</v>
      </c>
      <c r="F592" s="16">
        <v>400.6</v>
      </c>
      <c r="G592" s="17">
        <v>2</v>
      </c>
      <c r="H592" s="16">
        <f t="shared" si="324"/>
        <v>801.2</v>
      </c>
      <c r="I592" s="16" t="s">
        <v>5</v>
      </c>
      <c r="J592" s="10"/>
      <c r="K592" s="7"/>
      <c r="L592" s="83"/>
      <c r="M592" s="11"/>
    </row>
    <row r="593" spans="1:14" x14ac:dyDescent="0.35">
      <c r="A593" s="5">
        <v>1</v>
      </c>
      <c r="B593" s="136"/>
      <c r="C593" s="86" t="s">
        <v>37</v>
      </c>
      <c r="D593" s="86" t="str">
        <f t="shared" ref="D593" si="331">C593</f>
        <v>TSLA</v>
      </c>
      <c r="E593" s="86">
        <f ca="1">E592</f>
        <v>396.80220000000003</v>
      </c>
      <c r="F593" s="86">
        <f ca="1">E593</f>
        <v>396.80220000000003</v>
      </c>
      <c r="G593" s="87">
        <f>G592</f>
        <v>2</v>
      </c>
      <c r="H593" s="86">
        <f t="shared" ca="1" si="324"/>
        <v>793.60440000000006</v>
      </c>
      <c r="I593" s="86"/>
      <c r="J593" s="10">
        <f ca="1">H593-H592</f>
        <v>-7.5955999999999904</v>
      </c>
      <c r="K593" s="7">
        <f ca="1">(H593/H592)-100%</f>
        <v>-9.4802795806290252E-3</v>
      </c>
      <c r="L593" s="83">
        <v>46058</v>
      </c>
      <c r="M593" s="11"/>
      <c r="N593" s="5" t="s">
        <v>354</v>
      </c>
    </row>
    <row r="594" spans="1:14" x14ac:dyDescent="0.35">
      <c r="A594" s="5">
        <v>1</v>
      </c>
      <c r="B594" s="135" t="s">
        <v>386</v>
      </c>
      <c r="C594" s="13" t="e" vm="11">
        <v>#VALUE!</v>
      </c>
      <c r="D594" s="13" t="e" vm="11">
        <v>#VALUE!</v>
      </c>
      <c r="E594" s="13" cm="1">
        <f t="array" aca="1" ref="E594" ca="1">_FV(D594,"Price")</f>
        <v>396.80220000000003</v>
      </c>
      <c r="F594" s="13">
        <v>402.92</v>
      </c>
      <c r="G594" s="14">
        <v>2</v>
      </c>
      <c r="H594" s="13">
        <f t="shared" ref="H594:H595" si="332">F594*G594</f>
        <v>805.84</v>
      </c>
      <c r="I594" s="13" t="s">
        <v>5</v>
      </c>
      <c r="J594" s="10"/>
      <c r="K594" s="7"/>
      <c r="L594" s="83"/>
    </row>
    <row r="595" spans="1:14" x14ac:dyDescent="0.35">
      <c r="A595" s="5">
        <v>1</v>
      </c>
      <c r="B595" s="136"/>
      <c r="C595" s="13" t="s">
        <v>37</v>
      </c>
      <c r="D595" s="13" t="str">
        <f t="shared" ref="D595" si="333">C595</f>
        <v>TSLA</v>
      </c>
      <c r="E595" s="13">
        <f ca="1">E594</f>
        <v>396.80220000000003</v>
      </c>
      <c r="F595" s="13">
        <f ca="1">E595</f>
        <v>396.80220000000003</v>
      </c>
      <c r="G595" s="14">
        <f>G594</f>
        <v>2</v>
      </c>
      <c r="H595" s="13">
        <f t="shared" ca="1" si="332"/>
        <v>793.60440000000006</v>
      </c>
      <c r="I595" s="13"/>
      <c r="J595" s="10">
        <f ca="1">H595-H594</f>
        <v>-12.235599999999977</v>
      </c>
      <c r="K595" s="7">
        <f ca="1">(H595/H594)-100%</f>
        <v>-1.5183659287203333E-2</v>
      </c>
      <c r="L595" s="83">
        <v>46070</v>
      </c>
    </row>
    <row r="596" spans="1:14" x14ac:dyDescent="0.35">
      <c r="A596" s="5">
        <v>1</v>
      </c>
      <c r="B596" s="135" t="s">
        <v>386</v>
      </c>
      <c r="C596" s="16" t="e" vm="11">
        <v>#VALUE!</v>
      </c>
      <c r="D596" s="16" t="e" vm="11">
        <v>#VALUE!</v>
      </c>
      <c r="E596" s="16" cm="1">
        <f t="array" aca="1" ref="E596" ca="1">_FV(D596,"Price")</f>
        <v>396.80220000000003</v>
      </c>
      <c r="F596" s="16">
        <v>395</v>
      </c>
      <c r="G596" s="17">
        <v>2</v>
      </c>
      <c r="H596" s="16">
        <f t="shared" ref="H596:H599" si="334">F596*G596</f>
        <v>790</v>
      </c>
      <c r="I596" s="16" t="s">
        <v>5</v>
      </c>
      <c r="J596" s="10"/>
      <c r="K596" s="7"/>
      <c r="L596" s="83"/>
    </row>
    <row r="597" spans="1:14" x14ac:dyDescent="0.35">
      <c r="A597" s="5">
        <v>1</v>
      </c>
      <c r="B597" s="136"/>
      <c r="C597" s="86" t="s">
        <v>37</v>
      </c>
      <c r="D597" s="86" t="str">
        <f t="shared" ref="D597:D599" si="335">C597</f>
        <v>TSLA</v>
      </c>
      <c r="E597" s="86">
        <f ca="1">E596</f>
        <v>396.80220000000003</v>
      </c>
      <c r="F597" s="86">
        <f ca="1">E597</f>
        <v>396.80220000000003</v>
      </c>
      <c r="G597" s="87">
        <f>G596</f>
        <v>2</v>
      </c>
      <c r="H597" s="86">
        <f t="shared" ca="1" si="334"/>
        <v>793.60440000000006</v>
      </c>
      <c r="I597" s="86"/>
      <c r="J597" s="10">
        <f ca="1">H597-H596</f>
        <v>3.6044000000000551</v>
      </c>
      <c r="K597" s="7">
        <f ca="1">(H597/H596)-100%</f>
        <v>4.5625316455697451E-3</v>
      </c>
      <c r="L597" s="83">
        <v>46076</v>
      </c>
    </row>
    <row r="598" spans="1:14" ht="14.65" customHeight="1" x14ac:dyDescent="0.35">
      <c r="A598" s="5">
        <v>1</v>
      </c>
      <c r="B598" s="135" t="s">
        <v>386</v>
      </c>
      <c r="C598" s="81" t="e" vm="25">
        <v>#VALUE!</v>
      </c>
      <c r="D598" s="81" t="e" vm="25">
        <f t="shared" si="335"/>
        <v>#VALUE!</v>
      </c>
      <c r="E598" s="81" cm="1">
        <f t="array" aca="1" ref="E598" ca="1">_FV(D598,"Price")</f>
        <v>177.64</v>
      </c>
      <c r="F598" s="81">
        <v>185.74</v>
      </c>
      <c r="G598" s="82">
        <v>10</v>
      </c>
      <c r="H598" s="81">
        <f t="shared" si="334"/>
        <v>1857.4</v>
      </c>
      <c r="I598" s="81" t="s">
        <v>5</v>
      </c>
      <c r="J598" s="10"/>
      <c r="K598" s="7"/>
      <c r="L598" s="83"/>
      <c r="M598" s="11"/>
    </row>
    <row r="599" spans="1:14" x14ac:dyDescent="0.35">
      <c r="A599" s="5">
        <v>1</v>
      </c>
      <c r="B599" s="136"/>
      <c r="C599" s="81" t="s">
        <v>101</v>
      </c>
      <c r="D599" s="81" t="str">
        <f t="shared" si="335"/>
        <v>NVDA</v>
      </c>
      <c r="E599" s="81">
        <f ca="1">E598</f>
        <v>177.64</v>
      </c>
      <c r="F599" s="81">
        <f ca="1">E599</f>
        <v>177.64</v>
      </c>
      <c r="G599" s="82">
        <f>G598</f>
        <v>10</v>
      </c>
      <c r="H599" s="81">
        <f t="shared" ca="1" si="334"/>
        <v>1776.3999999999999</v>
      </c>
      <c r="I599" s="81"/>
      <c r="J599" s="10">
        <f ca="1">H599-H598</f>
        <v>-81.000000000000227</v>
      </c>
      <c r="K599" s="7">
        <f ca="1">(H599/H598)-100%</f>
        <v>-4.360934639819114E-2</v>
      </c>
      <c r="L599" s="83">
        <v>46079</v>
      </c>
      <c r="M599" s="11"/>
    </row>
    <row r="600" spans="1:14" x14ac:dyDescent="0.35">
      <c r="A600" s="5">
        <v>1</v>
      </c>
      <c r="B600" s="135" t="s">
        <v>386</v>
      </c>
      <c r="C600" s="13" t="e" vm="11">
        <v>#VALUE!</v>
      </c>
      <c r="D600" s="13" t="e" vm="11">
        <v>#VALUE!</v>
      </c>
      <c r="E600" s="13" cm="1">
        <f t="array" aca="1" ref="E600" ca="1">_FV(D600,"Price")</f>
        <v>396.80220000000003</v>
      </c>
      <c r="F600" s="13">
        <v>387.33</v>
      </c>
      <c r="G600" s="14">
        <v>2</v>
      </c>
      <c r="H600" s="13">
        <f t="shared" ref="H600:H603" si="336">F600*G600</f>
        <v>774.66</v>
      </c>
      <c r="I600" s="13" t="s">
        <v>5</v>
      </c>
      <c r="J600" s="10"/>
      <c r="K600" s="7"/>
      <c r="L600" s="83"/>
    </row>
    <row r="601" spans="1:14" x14ac:dyDescent="0.35">
      <c r="A601" s="5">
        <v>1</v>
      </c>
      <c r="B601" s="136"/>
      <c r="C601" s="13" t="s">
        <v>37</v>
      </c>
      <c r="D601" s="13" t="str">
        <f t="shared" ref="D601" si="337">C601</f>
        <v>TSLA</v>
      </c>
      <c r="E601" s="13">
        <f ca="1">E600</f>
        <v>396.80220000000003</v>
      </c>
      <c r="F601" s="13">
        <f ca="1">E601</f>
        <v>396.80220000000003</v>
      </c>
      <c r="G601" s="14">
        <f>G600</f>
        <v>2</v>
      </c>
      <c r="H601" s="13">
        <f t="shared" ca="1" si="336"/>
        <v>793.60440000000006</v>
      </c>
      <c r="I601" s="13"/>
      <c r="J601" s="10">
        <f ca="1">H601-H600</f>
        <v>18.944400000000087</v>
      </c>
      <c r="K601" s="7">
        <f ca="1">(H601/H600)-100%</f>
        <v>2.4455115792735072E-2</v>
      </c>
      <c r="L601" s="83">
        <v>46084</v>
      </c>
    </row>
    <row r="602" spans="1:14" ht="14.4" customHeight="1" x14ac:dyDescent="0.35">
      <c r="A602" s="5">
        <v>1</v>
      </c>
      <c r="B602" s="137" t="s">
        <v>102</v>
      </c>
      <c r="C602" s="16" t="e" vm="11">
        <v>#VALUE!</v>
      </c>
      <c r="D602" s="16" t="e" vm="11">
        <v>#VALUE!</v>
      </c>
      <c r="E602" s="16" cm="1">
        <f t="array" aca="1" ref="E602" ca="1">_FV(D602,"Price")</f>
        <v>396.80220000000003</v>
      </c>
      <c r="F602" s="16">
        <v>397.24</v>
      </c>
      <c r="G602" s="17">
        <v>1</v>
      </c>
      <c r="H602" s="16">
        <f t="shared" si="336"/>
        <v>397.24</v>
      </c>
      <c r="I602" s="16" t="s">
        <v>5</v>
      </c>
      <c r="J602" s="10"/>
      <c r="K602" s="7"/>
    </row>
    <row r="603" spans="1:14" x14ac:dyDescent="0.35">
      <c r="A603" s="5">
        <v>1</v>
      </c>
      <c r="B603" s="137"/>
      <c r="C603" s="86" t="s">
        <v>37</v>
      </c>
      <c r="D603" s="86" t="str">
        <f t="shared" ref="D603" si="338">C603</f>
        <v>TSLA</v>
      </c>
      <c r="E603" s="86">
        <f ca="1">E602</f>
        <v>396.80220000000003</v>
      </c>
      <c r="F603" s="86">
        <f ca="1">E603</f>
        <v>396.80220000000003</v>
      </c>
      <c r="G603" s="87">
        <f>G602</f>
        <v>1</v>
      </c>
      <c r="H603" s="86">
        <f t="shared" ca="1" si="336"/>
        <v>396.80220000000003</v>
      </c>
      <c r="I603" s="86"/>
      <c r="J603" s="10">
        <f ca="1">H603-H602</f>
        <v>-0.43779999999998154</v>
      </c>
      <c r="K603" s="7">
        <f ca="1">(H603/H602)-100%</f>
        <v>-1.10210452119619E-3</v>
      </c>
      <c r="L603" s="83">
        <v>46087</v>
      </c>
    </row>
    <row r="611" spans="3:3" x14ac:dyDescent="0.35">
      <c r="C611" s="83"/>
    </row>
  </sheetData>
  <autoFilter ref="A1:Q603" xr:uid="{7ECB3444-92D9-4200-8B78-7CB7FAE28719}"/>
  <mergeCells count="259">
    <mergeCell ref="B602:B603"/>
    <mergeCell ref="B600:B601"/>
    <mergeCell ref="B598:B599"/>
    <mergeCell ref="B8:B9"/>
    <mergeCell ref="B476:B477"/>
    <mergeCell ref="B458:B459"/>
    <mergeCell ref="B460:B461"/>
    <mergeCell ref="B462:B463"/>
    <mergeCell ref="B454:B455"/>
    <mergeCell ref="B456:B457"/>
    <mergeCell ref="B422:B423"/>
    <mergeCell ref="B472:B473"/>
    <mergeCell ref="B474:B475"/>
    <mergeCell ref="B464:B465"/>
    <mergeCell ref="B466:B467"/>
    <mergeCell ref="B450:B451"/>
    <mergeCell ref="B452:B453"/>
    <mergeCell ref="B444:B445"/>
    <mergeCell ref="B438:B439"/>
    <mergeCell ref="B440:B441"/>
    <mergeCell ref="B468:B469"/>
    <mergeCell ref="B470:B471"/>
    <mergeCell ref="B448:B449"/>
    <mergeCell ref="B446:B447"/>
    <mergeCell ref="B442:B443"/>
    <mergeCell ref="B434:B435"/>
    <mergeCell ref="B432:B433"/>
    <mergeCell ref="B426:B427"/>
    <mergeCell ref="B428:B429"/>
    <mergeCell ref="B430:B431"/>
    <mergeCell ref="B436:B437"/>
    <mergeCell ref="B424:B425"/>
    <mergeCell ref="B352:B353"/>
    <mergeCell ref="B354:B355"/>
    <mergeCell ref="B394:B395"/>
    <mergeCell ref="B396:B397"/>
    <mergeCell ref="B384:B385"/>
    <mergeCell ref="B382:B383"/>
    <mergeCell ref="B374:B375"/>
    <mergeCell ref="B404:B405"/>
    <mergeCell ref="B376:B377"/>
    <mergeCell ref="B380:B381"/>
    <mergeCell ref="B378:B379"/>
    <mergeCell ref="B388:B389"/>
    <mergeCell ref="B390:B391"/>
    <mergeCell ref="B386:B387"/>
    <mergeCell ref="B402:B403"/>
    <mergeCell ref="B392:B393"/>
    <mergeCell ref="B410:B411"/>
    <mergeCell ref="B420:B421"/>
    <mergeCell ref="B350:B351"/>
    <mergeCell ref="B346:B347"/>
    <mergeCell ref="B348:B349"/>
    <mergeCell ref="B344:B345"/>
    <mergeCell ref="B340:B341"/>
    <mergeCell ref="B356:B357"/>
    <mergeCell ref="B358:B359"/>
    <mergeCell ref="B416:B417"/>
    <mergeCell ref="B418:B419"/>
    <mergeCell ref="B414:B415"/>
    <mergeCell ref="B412:B413"/>
    <mergeCell ref="B408:B409"/>
    <mergeCell ref="B372:B373"/>
    <mergeCell ref="B364:B365"/>
    <mergeCell ref="B362:B363"/>
    <mergeCell ref="B360:B361"/>
    <mergeCell ref="B366:B367"/>
    <mergeCell ref="B368:B369"/>
    <mergeCell ref="B370:B371"/>
    <mergeCell ref="B398:B399"/>
    <mergeCell ref="B406:B407"/>
    <mergeCell ref="B400:B401"/>
    <mergeCell ref="B334:B335"/>
    <mergeCell ref="B336:B337"/>
    <mergeCell ref="B324:B325"/>
    <mergeCell ref="B326:B327"/>
    <mergeCell ref="B322:B323"/>
    <mergeCell ref="B342:B343"/>
    <mergeCell ref="B338:B339"/>
    <mergeCell ref="B330:B331"/>
    <mergeCell ref="B332:B333"/>
    <mergeCell ref="B328:B329"/>
    <mergeCell ref="B254:B255"/>
    <mergeCell ref="B278:B279"/>
    <mergeCell ref="B274:B275"/>
    <mergeCell ref="B272:B273"/>
    <mergeCell ref="B256:B257"/>
    <mergeCell ref="B258:B259"/>
    <mergeCell ref="B262:B263"/>
    <mergeCell ref="B260:B261"/>
    <mergeCell ref="B268:B269"/>
    <mergeCell ref="B264:B265"/>
    <mergeCell ref="B266:B267"/>
    <mergeCell ref="B298:B299"/>
    <mergeCell ref="B294:B295"/>
    <mergeCell ref="B296:B297"/>
    <mergeCell ref="B306:B307"/>
    <mergeCell ref="B310:B311"/>
    <mergeCell ref="B308:B309"/>
    <mergeCell ref="B320:B321"/>
    <mergeCell ref="B318:B319"/>
    <mergeCell ref="B316:B317"/>
    <mergeCell ref="B302:B303"/>
    <mergeCell ref="B314:B315"/>
    <mergeCell ref="B312:B313"/>
    <mergeCell ref="B304:B305"/>
    <mergeCell ref="B250:B251"/>
    <mergeCell ref="B252:B253"/>
    <mergeCell ref="B188:B189"/>
    <mergeCell ref="B248:B249"/>
    <mergeCell ref="B206:B207"/>
    <mergeCell ref="B204:B205"/>
    <mergeCell ref="B190:B191"/>
    <mergeCell ref="B198:B199"/>
    <mergeCell ref="B300:B301"/>
    <mergeCell ref="B292:B293"/>
    <mergeCell ref="B280:B281"/>
    <mergeCell ref="B282:B283"/>
    <mergeCell ref="B284:B285"/>
    <mergeCell ref="B276:B277"/>
    <mergeCell ref="B290:B291"/>
    <mergeCell ref="B286:B287"/>
    <mergeCell ref="B288:B289"/>
    <mergeCell ref="B220:B221"/>
    <mergeCell ref="B222:B223"/>
    <mergeCell ref="B242:B243"/>
    <mergeCell ref="B240:B241"/>
    <mergeCell ref="B270:B271"/>
    <mergeCell ref="B246:B247"/>
    <mergeCell ref="B244:B245"/>
    <mergeCell ref="B238:B239"/>
    <mergeCell ref="B228:B229"/>
    <mergeCell ref="B236:B237"/>
    <mergeCell ref="B200:B201"/>
    <mergeCell ref="B216:B217"/>
    <mergeCell ref="B218:B219"/>
    <mergeCell ref="B182:B183"/>
    <mergeCell ref="B192:B193"/>
    <mergeCell ref="B186:B187"/>
    <mergeCell ref="B230:B231"/>
    <mergeCell ref="B232:B233"/>
    <mergeCell ref="B184:B185"/>
    <mergeCell ref="B234:B235"/>
    <mergeCell ref="B180:B181"/>
    <mergeCell ref="B214:B215"/>
    <mergeCell ref="B210:B211"/>
    <mergeCell ref="B208:B209"/>
    <mergeCell ref="B212:B213"/>
    <mergeCell ref="B226:B227"/>
    <mergeCell ref="B224:B225"/>
    <mergeCell ref="B146:B147"/>
    <mergeCell ref="B176:B177"/>
    <mergeCell ref="B174:B175"/>
    <mergeCell ref="B178:B179"/>
    <mergeCell ref="B166:B167"/>
    <mergeCell ref="B164:B165"/>
    <mergeCell ref="B56:B57"/>
    <mergeCell ref="B60:B61"/>
    <mergeCell ref="B92:B93"/>
    <mergeCell ref="B68:B69"/>
    <mergeCell ref="B94:B95"/>
    <mergeCell ref="B144:B145"/>
    <mergeCell ref="B162:B163"/>
    <mergeCell ref="B158:B159"/>
    <mergeCell ref="B102:B103"/>
    <mergeCell ref="B104:B105"/>
    <mergeCell ref="B136:B137"/>
    <mergeCell ref="B154:B155"/>
    <mergeCell ref="B116:B117"/>
    <mergeCell ref="B160:B161"/>
    <mergeCell ref="B130:B131"/>
    <mergeCell ref="B138:B139"/>
    <mergeCell ref="B140:B141"/>
    <mergeCell ref="B120:B121"/>
    <mergeCell ref="B118:B119"/>
    <mergeCell ref="B12:B13"/>
    <mergeCell ref="B40:B41"/>
    <mergeCell ref="B44:B45"/>
    <mergeCell ref="B38:B39"/>
    <mergeCell ref="B34:B35"/>
    <mergeCell ref="B32:B33"/>
    <mergeCell ref="B30:B31"/>
    <mergeCell ref="B202:B203"/>
    <mergeCell ref="B196:B197"/>
    <mergeCell ref="B194:B195"/>
    <mergeCell ref="B58:B59"/>
    <mergeCell ref="B62:B63"/>
    <mergeCell ref="B64:B65"/>
    <mergeCell ref="B70:B71"/>
    <mergeCell ref="B72:B73"/>
    <mergeCell ref="B66:B67"/>
    <mergeCell ref="B74:B75"/>
    <mergeCell ref="B90:B91"/>
    <mergeCell ref="B46:B47"/>
    <mergeCell ref="B48:B49"/>
    <mergeCell ref="B50:B51"/>
    <mergeCell ref="B52:B53"/>
    <mergeCell ref="B168:B169"/>
    <mergeCell ref="B54:B55"/>
    <mergeCell ref="B480:B481"/>
    <mergeCell ref="B482:B483"/>
    <mergeCell ref="B514:B515"/>
    <mergeCell ref="B512:B513"/>
    <mergeCell ref="B510:B511"/>
    <mergeCell ref="B508:B509"/>
    <mergeCell ref="B478:B479"/>
    <mergeCell ref="B502:B503"/>
    <mergeCell ref="B504:B505"/>
    <mergeCell ref="B492:B493"/>
    <mergeCell ref="B494:B495"/>
    <mergeCell ref="B496:B497"/>
    <mergeCell ref="B506:B507"/>
    <mergeCell ref="B498:B499"/>
    <mergeCell ref="B500:B501"/>
    <mergeCell ref="B484:B485"/>
    <mergeCell ref="B486:B487"/>
    <mergeCell ref="B490:B491"/>
    <mergeCell ref="B488:B489"/>
    <mergeCell ref="B538:B539"/>
    <mergeCell ref="B530:B531"/>
    <mergeCell ref="B528:B529"/>
    <mergeCell ref="B520:B521"/>
    <mergeCell ref="B516:B517"/>
    <mergeCell ref="B518:B519"/>
    <mergeCell ref="B540:B541"/>
    <mergeCell ref="B536:B537"/>
    <mergeCell ref="B534:B535"/>
    <mergeCell ref="B532:B533"/>
    <mergeCell ref="B522:B523"/>
    <mergeCell ref="B524:B525"/>
    <mergeCell ref="B526:B527"/>
    <mergeCell ref="B550:B551"/>
    <mergeCell ref="B552:B553"/>
    <mergeCell ref="B574:B575"/>
    <mergeCell ref="B576:B577"/>
    <mergeCell ref="B586:B587"/>
    <mergeCell ref="B582:B583"/>
    <mergeCell ref="B584:B585"/>
    <mergeCell ref="B548:B549"/>
    <mergeCell ref="B542:B543"/>
    <mergeCell ref="B544:B545"/>
    <mergeCell ref="B546:B547"/>
    <mergeCell ref="B560:B561"/>
    <mergeCell ref="B562:B563"/>
    <mergeCell ref="B564:B565"/>
    <mergeCell ref="B558:B559"/>
    <mergeCell ref="B568:B569"/>
    <mergeCell ref="B596:B597"/>
    <mergeCell ref="B592:B593"/>
    <mergeCell ref="B588:B589"/>
    <mergeCell ref="B578:B579"/>
    <mergeCell ref="B580:B581"/>
    <mergeCell ref="B572:B573"/>
    <mergeCell ref="B570:B571"/>
    <mergeCell ref="B566:B567"/>
    <mergeCell ref="B554:B555"/>
    <mergeCell ref="B556:B557"/>
    <mergeCell ref="B590:B591"/>
    <mergeCell ref="B594:B595"/>
  </mergeCells>
  <conditionalFormatting sqref="J2:J5 J174:J243">
    <cfRule type="cellIs" dxfId="132" priority="584" operator="greaterThan">
      <formula>0</formula>
    </cfRule>
  </conditionalFormatting>
  <conditionalFormatting sqref="J8:J13">
    <cfRule type="cellIs" dxfId="131" priority="764" operator="greaterThan">
      <formula>0</formula>
    </cfRule>
  </conditionalFormatting>
  <conditionalFormatting sqref="J14:J51">
    <cfRule type="cellIs" dxfId="130" priority="659" operator="greaterThan">
      <formula>0</formula>
    </cfRule>
  </conditionalFormatting>
  <conditionalFormatting sqref="J52:J57">
    <cfRule type="cellIs" dxfId="129" priority="574" operator="greaterThan">
      <formula>0</formula>
    </cfRule>
  </conditionalFormatting>
  <conditionalFormatting sqref="J60:J61">
    <cfRule type="cellIs" dxfId="128" priority="686" operator="greaterThan">
      <formula>0</formula>
    </cfRule>
  </conditionalFormatting>
  <conditionalFormatting sqref="J168:J169">
    <cfRule type="cellIs" dxfId="127" priority="548" operator="greaterThan">
      <formula>0</formula>
    </cfRule>
  </conditionalFormatting>
  <conditionalFormatting sqref="J246:J247">
    <cfRule type="cellIs" dxfId="126" priority="587" operator="greaterThan">
      <formula>0</formula>
    </cfRule>
  </conditionalFormatting>
  <conditionalFormatting sqref="J254:J255">
    <cfRule type="cellIs" dxfId="125" priority="571" operator="greaterThan">
      <formula>0</formula>
    </cfRule>
  </conditionalFormatting>
  <conditionalFormatting sqref="J255">
    <cfRule type="cellIs" dxfId="124" priority="502" operator="greaterThan">
      <formula>0</formula>
    </cfRule>
    <cfRule type="cellIs" dxfId="123" priority="504" operator="greaterThan">
      <formula>0</formula>
    </cfRule>
  </conditionalFormatting>
  <conditionalFormatting sqref="J255:J257">
    <cfRule type="cellIs" dxfId="122" priority="525" operator="greaterThan">
      <formula>0</formula>
    </cfRule>
  </conditionalFormatting>
  <conditionalFormatting sqref="J257">
    <cfRule type="cellIs" dxfId="121" priority="506" operator="greaterThan">
      <formula>0</formula>
    </cfRule>
    <cfRule type="cellIs" dxfId="120" priority="508" operator="greaterThan">
      <formula>0</formula>
    </cfRule>
  </conditionalFormatting>
  <conditionalFormatting sqref="J258:J259">
    <cfRule type="cellIs" dxfId="119" priority="567" operator="greaterThan">
      <formula>0</formula>
    </cfRule>
  </conditionalFormatting>
  <conditionalFormatting sqref="J260:J263">
    <cfRule type="cellIs" dxfId="118" priority="557" operator="greaterThan">
      <formula>0</formula>
    </cfRule>
  </conditionalFormatting>
  <conditionalFormatting sqref="J263:J265">
    <cfRule type="cellIs" dxfId="117" priority="500" operator="greaterThan">
      <formula>0</formula>
    </cfRule>
  </conditionalFormatting>
  <conditionalFormatting sqref="J266:J279">
    <cfRule type="cellIs" dxfId="116" priority="537" operator="greaterThan">
      <formula>0</formula>
    </cfRule>
  </conditionalFormatting>
  <conditionalFormatting sqref="J269">
    <cfRule type="cellIs" dxfId="115" priority="523" operator="greaterThan">
      <formula>0</formula>
    </cfRule>
  </conditionalFormatting>
  <conditionalFormatting sqref="J271">
    <cfRule type="cellIs" dxfId="114" priority="521" operator="greaterThan">
      <formula>0</formula>
    </cfRule>
  </conditionalFormatting>
  <conditionalFormatting sqref="J273">
    <cfRule type="cellIs" dxfId="113" priority="519" operator="greaterThan">
      <formula>0</formula>
    </cfRule>
  </conditionalFormatting>
  <conditionalFormatting sqref="J275">
    <cfRule type="cellIs" dxfId="112" priority="517" operator="greaterThan">
      <formula>0</formula>
    </cfRule>
  </conditionalFormatting>
  <conditionalFormatting sqref="J277">
    <cfRule type="cellIs" dxfId="111" priority="515" operator="greaterThan">
      <formula>0</formula>
    </cfRule>
  </conditionalFormatting>
  <conditionalFormatting sqref="J279">
    <cfRule type="cellIs" dxfId="110" priority="511" operator="greaterThan">
      <formula>0</formula>
    </cfRule>
  </conditionalFormatting>
  <conditionalFormatting sqref="J280:J285">
    <cfRule type="cellIs" dxfId="109" priority="496" operator="greaterThan">
      <formula>0</formula>
    </cfRule>
  </conditionalFormatting>
  <conditionalFormatting sqref="J283">
    <cfRule type="cellIs" dxfId="108" priority="494" operator="greaterThan">
      <formula>0</formula>
    </cfRule>
  </conditionalFormatting>
  <conditionalFormatting sqref="J285:J333">
    <cfRule type="cellIs" dxfId="107" priority="487" operator="greaterThan">
      <formula>0</formula>
    </cfRule>
  </conditionalFormatting>
  <conditionalFormatting sqref="J287">
    <cfRule type="cellIs" dxfId="106" priority="484" operator="greaterThan">
      <formula>0</formula>
    </cfRule>
  </conditionalFormatting>
  <conditionalFormatting sqref="J289">
    <cfRule type="cellIs" dxfId="105" priority="479" operator="greaterThan">
      <formula>0</formula>
    </cfRule>
  </conditionalFormatting>
  <conditionalFormatting sqref="J291">
    <cfRule type="cellIs" dxfId="104" priority="475" operator="greaterThan">
      <formula>0</formula>
    </cfRule>
  </conditionalFormatting>
  <conditionalFormatting sqref="J293">
    <cfRule type="cellIs" dxfId="103" priority="471" operator="greaterThan">
      <formula>0</formula>
    </cfRule>
  </conditionalFormatting>
  <conditionalFormatting sqref="J311">
    <cfRule type="cellIs" dxfId="102" priority="452" operator="greaterThan">
      <formula>0</formula>
    </cfRule>
  </conditionalFormatting>
  <conditionalFormatting sqref="J315">
    <cfRule type="cellIs" dxfId="101" priority="446" operator="greaterThan">
      <formula>0</formula>
    </cfRule>
  </conditionalFormatting>
  <conditionalFormatting sqref="J317">
    <cfRule type="cellIs" dxfId="100" priority="442" operator="greaterThan">
      <formula>0</formula>
    </cfRule>
  </conditionalFormatting>
  <conditionalFormatting sqref="J319">
    <cfRule type="cellIs" dxfId="99" priority="438" operator="greaterThan">
      <formula>0</formula>
    </cfRule>
  </conditionalFormatting>
  <conditionalFormatting sqref="J321">
    <cfRule type="cellIs" dxfId="98" priority="434" operator="greaterThan">
      <formula>0</formula>
    </cfRule>
  </conditionalFormatting>
  <conditionalFormatting sqref="J330:J331">
    <cfRule type="cellIs" dxfId="97" priority="409" operator="greaterThan">
      <formula>0</formula>
    </cfRule>
  </conditionalFormatting>
  <conditionalFormatting sqref="J334:J341">
    <cfRule type="cellIs" dxfId="96" priority="414" operator="greaterThan">
      <formula>0</formula>
    </cfRule>
  </conditionalFormatting>
  <conditionalFormatting sqref="J342:J365">
    <cfRule type="cellIs" dxfId="95" priority="406" operator="greaterThan">
      <formula>0</formula>
    </cfRule>
  </conditionalFormatting>
  <conditionalFormatting sqref="J366:J367">
    <cfRule type="cellIs" dxfId="94" priority="379" operator="greaterThan">
      <formula>0</formula>
    </cfRule>
  </conditionalFormatting>
  <conditionalFormatting sqref="J368:J369">
    <cfRule type="cellIs" dxfId="93" priority="373" operator="greaterThan">
      <formula>0</formula>
    </cfRule>
  </conditionalFormatting>
  <conditionalFormatting sqref="J370:J387">
    <cfRule type="cellIs" dxfId="92" priority="364" operator="greaterThan">
      <formula>0</formula>
    </cfRule>
  </conditionalFormatting>
  <conditionalFormatting sqref="J388:J391">
    <cfRule type="cellIs" dxfId="91" priority="347" operator="greaterThan">
      <formula>0</formula>
    </cfRule>
  </conditionalFormatting>
  <conditionalFormatting sqref="J392:J395">
    <cfRule type="cellIs" dxfId="90" priority="341" operator="greaterThan">
      <formula>0</formula>
    </cfRule>
  </conditionalFormatting>
  <conditionalFormatting sqref="J396:J397">
    <cfRule type="cellIs" dxfId="89" priority="337" operator="greaterThan">
      <formula>0</formula>
    </cfRule>
  </conditionalFormatting>
  <conditionalFormatting sqref="J398:J399">
    <cfRule type="cellIs" dxfId="88" priority="333" operator="greaterThan">
      <formula>0</formula>
    </cfRule>
  </conditionalFormatting>
  <conditionalFormatting sqref="J400:J407">
    <cfRule type="cellIs" dxfId="87" priority="323" operator="greaterThan">
      <formula>0</formula>
    </cfRule>
  </conditionalFormatting>
  <conditionalFormatting sqref="J414:J415">
    <cfRule type="cellIs" dxfId="86" priority="313" operator="greaterThan">
      <formula>0</formula>
    </cfRule>
  </conditionalFormatting>
  <conditionalFormatting sqref="J420:J421">
    <cfRule type="cellIs" dxfId="85" priority="307" operator="greaterThan">
      <formula>0</formula>
    </cfRule>
  </conditionalFormatting>
  <conditionalFormatting sqref="J422:J427">
    <cfRule type="cellIs" dxfId="84" priority="303" operator="greaterThan">
      <formula>0</formula>
    </cfRule>
  </conditionalFormatting>
  <conditionalFormatting sqref="J430:J437">
    <cfRule type="cellIs" dxfId="83" priority="288" operator="greaterThan">
      <formula>0</formula>
    </cfRule>
  </conditionalFormatting>
  <conditionalFormatting sqref="J438:J465">
    <cfRule type="cellIs" dxfId="82" priority="276" operator="greaterThan">
      <formula>0</formula>
    </cfRule>
  </conditionalFormatting>
  <conditionalFormatting sqref="J466:J503">
    <cfRule type="cellIs" dxfId="81" priority="214" operator="greaterThan">
      <formula>0</formula>
    </cfRule>
  </conditionalFormatting>
  <conditionalFormatting sqref="J506:J511">
    <cfRule type="cellIs" dxfId="80" priority="139" operator="greaterThan">
      <formula>0</formula>
    </cfRule>
  </conditionalFormatting>
  <conditionalFormatting sqref="J512:J515">
    <cfRule type="cellIs" dxfId="79" priority="194" operator="greaterThan">
      <formula>0</formula>
    </cfRule>
  </conditionalFormatting>
  <conditionalFormatting sqref="J516:J525">
    <cfRule type="cellIs" dxfId="78" priority="174" operator="greaterThan">
      <formula>0</formula>
    </cfRule>
  </conditionalFormatting>
  <conditionalFormatting sqref="J528:J529">
    <cfRule type="cellIs" dxfId="77" priority="141" operator="greaterThan">
      <formula>0</formula>
    </cfRule>
  </conditionalFormatting>
  <conditionalFormatting sqref="J530:J531">
    <cfRule type="cellIs" dxfId="76" priority="166" operator="greaterThan">
      <formula>0</formula>
    </cfRule>
  </conditionalFormatting>
  <conditionalFormatting sqref="J536:J537">
    <cfRule type="cellIs" dxfId="75" priority="159" operator="greaterThan">
      <formula>0</formula>
    </cfRule>
  </conditionalFormatting>
  <conditionalFormatting sqref="J538:J541">
    <cfRule type="cellIs" dxfId="74" priority="153" operator="greaterThan">
      <formula>0</formula>
    </cfRule>
  </conditionalFormatting>
  <conditionalFormatting sqref="J542:J545">
    <cfRule type="cellIs" dxfId="73" priority="147" operator="greaterThan">
      <formula>0</formula>
    </cfRule>
  </conditionalFormatting>
  <conditionalFormatting sqref="J546:J547">
    <cfRule type="cellIs" dxfId="72" priority="143" operator="greaterThan">
      <formula>0</formula>
    </cfRule>
  </conditionalFormatting>
  <conditionalFormatting sqref="J550:J555">
    <cfRule type="cellIs" dxfId="71" priority="130" operator="greaterThan">
      <formula>0</formula>
    </cfRule>
  </conditionalFormatting>
  <conditionalFormatting sqref="J558:J559">
    <cfRule type="cellIs" dxfId="70" priority="125" operator="greaterThan">
      <formula>0</formula>
    </cfRule>
  </conditionalFormatting>
  <conditionalFormatting sqref="J560:J561">
    <cfRule type="cellIs" dxfId="69" priority="121" operator="greaterThan">
      <formula>0</formula>
    </cfRule>
  </conditionalFormatting>
  <conditionalFormatting sqref="J566:J567">
    <cfRule type="cellIs" dxfId="68" priority="115" operator="greaterThan">
      <formula>0</formula>
    </cfRule>
  </conditionalFormatting>
  <conditionalFormatting sqref="J570:J577">
    <cfRule type="cellIs" dxfId="67" priority="104" operator="greaterThan">
      <formula>0</formula>
    </cfRule>
  </conditionalFormatting>
  <conditionalFormatting sqref="J582:J587">
    <cfRule type="cellIs" dxfId="66" priority="89" operator="greaterThan">
      <formula>0</formula>
    </cfRule>
  </conditionalFormatting>
  <conditionalFormatting sqref="J588:J589">
    <cfRule type="cellIs" dxfId="65" priority="24" operator="greaterThan">
      <formula>0</formula>
    </cfRule>
  </conditionalFormatting>
  <conditionalFormatting sqref="J590:J597">
    <cfRule type="cellIs" dxfId="64" priority="18" operator="greaterThan">
      <formula>0</formula>
    </cfRule>
  </conditionalFormatting>
  <conditionalFormatting sqref="J598:J603">
    <cfRule type="cellIs" dxfId="63" priority="3" operator="greaterThan">
      <formula>0</formula>
    </cfRule>
  </conditionalFormatting>
  <conditionalFormatting sqref="J46:K163 J296:K311 J321:K335 J450:K467">
    <cfRule type="cellIs" dxfId="62" priority="790" operator="greaterThan">
      <formula>0</formula>
    </cfRule>
  </conditionalFormatting>
  <conditionalFormatting sqref="J164:K165">
    <cfRule type="cellIs" dxfId="61" priority="573" operator="greaterThan">
      <formula>0</formula>
    </cfRule>
  </conditionalFormatting>
  <conditionalFormatting sqref="J166:K253 J12:M45">
    <cfRule type="cellIs" dxfId="60" priority="657" operator="greaterThan">
      <formula>0</formula>
    </cfRule>
  </conditionalFormatting>
  <conditionalFormatting sqref="J254:K255">
    <cfRule type="cellIs" dxfId="59" priority="568" operator="greaterThan">
      <formula>0</formula>
    </cfRule>
  </conditionalFormatting>
  <conditionalFormatting sqref="J255:K255">
    <cfRule type="cellIs" dxfId="58" priority="505" operator="greaterThan">
      <formula>0</formula>
    </cfRule>
    <cfRule type="cellIs" dxfId="57" priority="503" operator="greaterThan">
      <formula>0</formula>
    </cfRule>
  </conditionalFormatting>
  <conditionalFormatting sqref="J256:K257">
    <cfRule type="cellIs" dxfId="56" priority="524" operator="greaterThan">
      <formula>0</formula>
    </cfRule>
  </conditionalFormatting>
  <conditionalFormatting sqref="J257:K257">
    <cfRule type="cellIs" dxfId="55" priority="507" operator="greaterThan">
      <formula>0</formula>
    </cfRule>
  </conditionalFormatting>
  <conditionalFormatting sqref="J258:K261">
    <cfRule type="cellIs" dxfId="54" priority="560" operator="greaterThan">
      <formula>0</formula>
    </cfRule>
  </conditionalFormatting>
  <conditionalFormatting sqref="J262:K278">
    <cfRule type="cellIs" dxfId="53" priority="527" operator="greaterThan">
      <formula>0</formula>
    </cfRule>
  </conditionalFormatting>
  <conditionalFormatting sqref="J269:K269">
    <cfRule type="cellIs" dxfId="52" priority="522" operator="greaterThan">
      <formula>0</formula>
    </cfRule>
  </conditionalFormatting>
  <conditionalFormatting sqref="J271:K271">
    <cfRule type="cellIs" dxfId="51" priority="520" operator="greaterThan">
      <formula>0</formula>
    </cfRule>
  </conditionalFormatting>
  <conditionalFormatting sqref="J273:K273">
    <cfRule type="cellIs" dxfId="50" priority="518" operator="greaterThan">
      <formula>0</formula>
    </cfRule>
  </conditionalFormatting>
  <conditionalFormatting sqref="J275:K275">
    <cfRule type="cellIs" dxfId="49" priority="516" operator="greaterThan">
      <formula>0</formula>
    </cfRule>
  </conditionalFormatting>
  <conditionalFormatting sqref="J277:K277">
    <cfRule type="cellIs" dxfId="48" priority="514" operator="greaterThan">
      <formula>0</formula>
    </cfRule>
  </conditionalFormatting>
  <conditionalFormatting sqref="J279:K279">
    <cfRule type="cellIs" dxfId="47" priority="513" operator="greaterThan">
      <formula>0</formula>
    </cfRule>
  </conditionalFormatting>
  <conditionalFormatting sqref="J279:K281">
    <cfRule type="cellIs" dxfId="46" priority="499" operator="greaterThan">
      <formula>0</formula>
    </cfRule>
  </conditionalFormatting>
  <conditionalFormatting sqref="J282:K283">
    <cfRule type="cellIs" dxfId="45" priority="495" operator="greaterThan">
      <formula>0</formula>
    </cfRule>
  </conditionalFormatting>
  <conditionalFormatting sqref="J283:K285">
    <cfRule type="cellIs" dxfId="44" priority="491" operator="greaterThan">
      <formula>0</formula>
    </cfRule>
  </conditionalFormatting>
  <conditionalFormatting sqref="J285:K287">
    <cfRule type="cellIs" dxfId="43" priority="485" operator="greaterThan">
      <formula>0</formula>
    </cfRule>
  </conditionalFormatting>
  <conditionalFormatting sqref="J287:K289">
    <cfRule type="cellIs" dxfId="42" priority="480" operator="greaterThan">
      <formula>0</formula>
    </cfRule>
  </conditionalFormatting>
  <conditionalFormatting sqref="J289:K291">
    <cfRule type="cellIs" dxfId="41" priority="476" operator="greaterThan">
      <formula>0</formula>
    </cfRule>
  </conditionalFormatting>
  <conditionalFormatting sqref="J291:K293">
    <cfRule type="cellIs" dxfId="40" priority="472" operator="greaterThan">
      <formula>0</formula>
    </cfRule>
  </conditionalFormatting>
  <conditionalFormatting sqref="J293:K295">
    <cfRule type="cellIs" dxfId="39" priority="468" operator="greaterThan">
      <formula>0</formula>
    </cfRule>
  </conditionalFormatting>
  <conditionalFormatting sqref="J311:K315">
    <cfRule type="cellIs" dxfId="38" priority="447" operator="greaterThan">
      <formula>0</formula>
    </cfRule>
  </conditionalFormatting>
  <conditionalFormatting sqref="J315:K317">
    <cfRule type="cellIs" dxfId="37" priority="443" operator="greaterThan">
      <formula>0</formula>
    </cfRule>
  </conditionalFormatting>
  <conditionalFormatting sqref="J317:K319">
    <cfRule type="cellIs" dxfId="36" priority="439" operator="greaterThan">
      <formula>0</formula>
    </cfRule>
  </conditionalFormatting>
  <conditionalFormatting sqref="J319:K321">
    <cfRule type="cellIs" dxfId="35" priority="435" operator="greaterThan">
      <formula>0</formula>
    </cfRule>
  </conditionalFormatting>
  <conditionalFormatting sqref="J330:K331">
    <cfRule type="cellIs" dxfId="34" priority="408" operator="greaterThan">
      <formula>0</formula>
    </cfRule>
  </conditionalFormatting>
  <conditionalFormatting sqref="J336:K343">
    <cfRule type="cellIs" dxfId="33" priority="407" operator="greaterThan">
      <formula>0</formula>
    </cfRule>
  </conditionalFormatting>
  <conditionalFormatting sqref="J344:K366">
    <cfRule type="cellIs" dxfId="32" priority="382" operator="greaterThan">
      <formula>0</formula>
    </cfRule>
  </conditionalFormatting>
  <conditionalFormatting sqref="J367:K368">
    <cfRule type="cellIs" dxfId="31" priority="376" operator="greaterThan">
      <formula>0</formula>
    </cfRule>
  </conditionalFormatting>
  <conditionalFormatting sqref="J369:K371">
    <cfRule type="cellIs" dxfId="30" priority="370" operator="greaterThan">
      <formula>0</formula>
    </cfRule>
  </conditionalFormatting>
  <conditionalFormatting sqref="J372:K390">
    <cfRule type="cellIs" dxfId="29" priority="348" operator="greaterThan">
      <formula>0</formula>
    </cfRule>
  </conditionalFormatting>
  <conditionalFormatting sqref="J391:K393">
    <cfRule type="cellIs" dxfId="28" priority="344" operator="greaterThan">
      <formula>0</formula>
    </cfRule>
  </conditionalFormatting>
  <conditionalFormatting sqref="J394:K396">
    <cfRule type="cellIs" dxfId="27" priority="338" operator="greaterThan">
      <formula>0</formula>
    </cfRule>
  </conditionalFormatting>
  <conditionalFormatting sqref="J397:K398">
    <cfRule type="cellIs" dxfId="26" priority="334" operator="greaterThan">
      <formula>0</formula>
    </cfRule>
  </conditionalFormatting>
  <conditionalFormatting sqref="J399:K400">
    <cfRule type="cellIs" dxfId="25" priority="330" operator="greaterThan">
      <formula>0</formula>
    </cfRule>
  </conditionalFormatting>
  <conditionalFormatting sqref="J401:K415">
    <cfRule type="cellIs" dxfId="24" priority="314" operator="greaterThan">
      <formula>0</formula>
    </cfRule>
  </conditionalFormatting>
  <conditionalFormatting sqref="J416:K423">
    <cfRule type="cellIs" dxfId="23" priority="304" operator="greaterThan">
      <formula>0</formula>
    </cfRule>
  </conditionalFormatting>
  <conditionalFormatting sqref="J424:K439">
    <cfRule type="cellIs" dxfId="22" priority="285" operator="greaterThan">
      <formula>0</formula>
    </cfRule>
  </conditionalFormatting>
  <conditionalFormatting sqref="J440:K449">
    <cfRule type="cellIs" dxfId="21" priority="271" operator="greaterThan">
      <formula>0</formula>
    </cfRule>
  </conditionalFormatting>
  <conditionalFormatting sqref="J468:K511">
    <cfRule type="cellIs" dxfId="20" priority="138" operator="greaterThan">
      <formula>0</formula>
    </cfRule>
  </conditionalFormatting>
  <conditionalFormatting sqref="J512:K517">
    <cfRule type="cellIs" dxfId="19" priority="185" operator="greaterThan">
      <formula>0</formula>
    </cfRule>
  </conditionalFormatting>
  <conditionalFormatting sqref="J518:K529">
    <cfRule type="cellIs" dxfId="18" priority="140" operator="greaterThan">
      <formula>0</formula>
    </cfRule>
  </conditionalFormatting>
  <conditionalFormatting sqref="J530:K539">
    <cfRule type="cellIs" dxfId="17" priority="156" operator="greaterThan">
      <formula>0</formula>
    </cfRule>
  </conditionalFormatting>
  <conditionalFormatting sqref="J540:K543">
    <cfRule type="cellIs" dxfId="16" priority="150" operator="greaterThan">
      <formula>0</formula>
    </cfRule>
  </conditionalFormatting>
  <conditionalFormatting sqref="J544:K547">
    <cfRule type="cellIs" dxfId="15" priority="144" operator="greaterThan">
      <formula>0</formula>
    </cfRule>
  </conditionalFormatting>
  <conditionalFormatting sqref="J548:K561">
    <cfRule type="cellIs" dxfId="14" priority="122" operator="greaterThan">
      <formula>0</formula>
    </cfRule>
  </conditionalFormatting>
  <conditionalFormatting sqref="J587:K591">
    <cfRule type="cellIs" dxfId="13" priority="21" operator="greaterThan">
      <formula>0</formula>
    </cfRule>
  </conditionalFormatting>
  <conditionalFormatting sqref="J587:K603">
    <cfRule type="cellIs" dxfId="12" priority="1" operator="lessThan">
      <formula>0</formula>
    </cfRule>
  </conditionalFormatting>
  <conditionalFormatting sqref="J592:K599">
    <cfRule type="cellIs" dxfId="11" priority="10" operator="greaterThan">
      <formula>0</formula>
    </cfRule>
  </conditionalFormatting>
  <conditionalFormatting sqref="J600:K603">
    <cfRule type="cellIs" dxfId="10" priority="2" operator="greaterThan">
      <formula>0</formula>
    </cfRule>
  </conditionalFormatting>
  <conditionalFormatting sqref="J2:M5">
    <cfRule type="cellIs" dxfId="9" priority="582" operator="greaterThan">
      <formula>0</formula>
    </cfRule>
    <cfRule type="cellIs" dxfId="8" priority="583" operator="lessThan">
      <formula>0</formula>
    </cfRule>
  </conditionalFormatting>
  <conditionalFormatting sqref="J12:M45 M46:M530 J46:K575 M532:M558 M560:M575 J576:M576 J577:K577 M577 J578:M580 J581:K581 M581 J582:M584 M584:M585 J585:K585 J586:M586 M587">
    <cfRule type="cellIs" dxfId="7" priority="87" operator="lessThan">
      <formula>0</formula>
    </cfRule>
  </conditionalFormatting>
  <conditionalFormatting sqref="J6:N11">
    <cfRule type="cellIs" dxfId="6" priority="762" operator="greaterThan">
      <formula>0</formula>
    </cfRule>
    <cfRule type="cellIs" dxfId="5" priority="763" operator="lessThan">
      <formula>0</formula>
    </cfRule>
  </conditionalFormatting>
  <conditionalFormatting sqref="M46:M530 M532:M558 M560:M575 J562:K575 J576:M576 J577:K577 M577 J578:M580 J581:K581 M581 J582:M584 M584:M585 J585:K585 J586:M586 M587">
    <cfRule type="cellIs" dxfId="4" priority="88" operator="greaterThan">
      <formula>0</formula>
    </cfRule>
  </conditionalFormatting>
  <conditionalFormatting sqref="M592:M593">
    <cfRule type="cellIs" dxfId="3" priority="16" operator="greaterThan">
      <formula>0</formula>
    </cfRule>
    <cfRule type="cellIs" dxfId="2" priority="15" operator="lessThan">
      <formula>0</formula>
    </cfRule>
  </conditionalFormatting>
  <conditionalFormatting sqref="M598:M599">
    <cfRule type="cellIs" dxfId="1" priority="7" operator="lessThan">
      <formula>0</formula>
    </cfRule>
    <cfRule type="cellIs" dxfId="0" priority="8" operator="greater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Gaboch_portfolio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dc:creator>
  <cp:keywords/>
  <dc:description/>
  <cp:lastModifiedBy>Gaboch</cp:lastModifiedBy>
  <cp:revision/>
  <dcterms:created xsi:type="dcterms:W3CDTF">2023-06-12T15:08:52Z</dcterms:created>
  <dcterms:modified xsi:type="dcterms:W3CDTF">2026-03-07T20:38:26Z</dcterms:modified>
  <cp:category/>
  <cp:contentStatus/>
</cp:coreProperties>
</file>